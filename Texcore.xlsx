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Project\Texcore\"/>
    </mc:Choice>
  </mc:AlternateContent>
  <bookViews>
    <workbookView xWindow="0" yWindow="0" windowWidth="23040" windowHeight="8904" activeTab="1"/>
  </bookViews>
  <sheets>
    <sheet name="Sheet1" sheetId="1" r:id="rId1"/>
    <sheet name="Sheet2" sheetId="2" r:id="rId2"/>
    <sheet name="Sheet3" sheetId="3" r:id="rId3"/>
    <sheet name="Sheet4" sheetId="4" r:id="rId4"/>
    <sheet name="Final" sheetId="5" r:id="rId5"/>
    <sheet name="ROI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2" l="1"/>
  <c r="H26" i="2"/>
  <c r="C19" i="2"/>
  <c r="C15" i="2"/>
  <c r="H25" i="2"/>
  <c r="J15" i="2" l="1"/>
  <c r="J13" i="2"/>
  <c r="J12" i="2"/>
  <c r="J8" i="2"/>
  <c r="J7" i="2"/>
  <c r="K4" i="6" l="1"/>
  <c r="K5" i="6"/>
  <c r="K6" i="6"/>
  <c r="K7" i="6"/>
  <c r="K8" i="6"/>
  <c r="K9" i="6"/>
  <c r="K10" i="6"/>
  <c r="K11" i="6"/>
  <c r="K12" i="6"/>
  <c r="K13" i="6"/>
  <c r="K14" i="6"/>
  <c r="K3" i="6"/>
  <c r="J15" i="6"/>
  <c r="E4" i="6"/>
  <c r="E5" i="6"/>
  <c r="F5" i="6" s="1"/>
  <c r="G5" i="6" s="1"/>
  <c r="E6" i="6"/>
  <c r="F6" i="6" s="1"/>
  <c r="G6" i="6" s="1"/>
  <c r="E7" i="6"/>
  <c r="F7" i="6" s="1"/>
  <c r="G7" i="6" s="1"/>
  <c r="E8" i="6"/>
  <c r="E9" i="6"/>
  <c r="E10" i="6"/>
  <c r="F10" i="6" s="1"/>
  <c r="G10" i="6" s="1"/>
  <c r="E11" i="6"/>
  <c r="F11" i="6" s="1"/>
  <c r="G11" i="6" s="1"/>
  <c r="E12" i="6"/>
  <c r="E13" i="6"/>
  <c r="F13" i="6" s="1"/>
  <c r="G13" i="6" s="1"/>
  <c r="E14" i="6"/>
  <c r="E3" i="6"/>
  <c r="N3" i="6"/>
  <c r="I15" i="6"/>
  <c r="M4" i="6"/>
  <c r="M5" i="6"/>
  <c r="M6" i="6"/>
  <c r="M7" i="6"/>
  <c r="M8" i="6"/>
  <c r="M9" i="6"/>
  <c r="M10" i="6"/>
  <c r="M11" i="6"/>
  <c r="M12" i="6"/>
  <c r="M13" i="6"/>
  <c r="M14" i="6"/>
  <c r="M3" i="6"/>
  <c r="F4" i="6"/>
  <c r="G4" i="6" s="1"/>
  <c r="F8" i="6"/>
  <c r="F9" i="6"/>
  <c r="G9" i="6" s="1"/>
  <c r="F12" i="6"/>
  <c r="G12" i="6" s="1"/>
  <c r="F14" i="6"/>
  <c r="G14" i="6" s="1"/>
  <c r="G8" i="6"/>
  <c r="C15" i="6"/>
  <c r="D15" i="6"/>
  <c r="D45" i="5"/>
  <c r="E45" i="5"/>
  <c r="F45" i="5"/>
  <c r="G45" i="5"/>
  <c r="C45" i="5"/>
  <c r="D44" i="5"/>
  <c r="E44" i="5"/>
  <c r="F44" i="5"/>
  <c r="G44" i="5"/>
  <c r="C44" i="5"/>
  <c r="E43" i="5"/>
  <c r="E46" i="5" s="1"/>
  <c r="F43" i="5"/>
  <c r="F46" i="5" s="1"/>
  <c r="J6" i="5"/>
  <c r="K15" i="6" l="1"/>
  <c r="E17" i="6" s="1"/>
  <c r="N4" i="6"/>
  <c r="N5" i="6" s="1"/>
  <c r="E15" i="6"/>
  <c r="F3" i="6"/>
  <c r="H3" i="6" s="1"/>
  <c r="M15" i="6"/>
  <c r="E48" i="5"/>
  <c r="E49" i="5" s="1"/>
  <c r="E50" i="5" s="1"/>
  <c r="E51" i="5" s="1"/>
  <c r="E47" i="5"/>
  <c r="F47" i="5"/>
  <c r="F48" i="5" s="1"/>
  <c r="F49" i="5" s="1"/>
  <c r="F50" i="5" s="1"/>
  <c r="F51" i="5" s="1"/>
  <c r="D43" i="5"/>
  <c r="D46" i="5" s="1"/>
  <c r="C43" i="5"/>
  <c r="C46" i="5" s="1"/>
  <c r="G43" i="5"/>
  <c r="G46" i="5" s="1"/>
  <c r="C13" i="2"/>
  <c r="D13" i="2"/>
  <c r="E19" i="2"/>
  <c r="G3" i="6" l="1"/>
  <c r="G15" i="6" s="1"/>
  <c r="E18" i="6" s="1"/>
  <c r="E19" i="6" s="1"/>
  <c r="F15" i="6"/>
  <c r="O3" i="6"/>
  <c r="H4" i="6"/>
  <c r="N6" i="6"/>
  <c r="G47" i="5"/>
  <c r="G48" i="5" s="1"/>
  <c r="G49" i="5" s="1"/>
  <c r="G50" i="5" s="1"/>
  <c r="G51" i="5" s="1"/>
  <c r="C47" i="5"/>
  <c r="C48" i="5"/>
  <c r="C49" i="5" s="1"/>
  <c r="C50" i="5" s="1"/>
  <c r="C51" i="5" s="1"/>
  <c r="D47" i="5"/>
  <c r="D48" i="5"/>
  <c r="D49" i="5" s="1"/>
  <c r="D50" i="5" s="1"/>
  <c r="D51" i="5" s="1"/>
  <c r="F18" i="2"/>
  <c r="D19" i="2"/>
  <c r="F19" i="2"/>
  <c r="I3" i="2"/>
  <c r="C22" i="2" l="1"/>
  <c r="C18" i="2"/>
  <c r="C20" i="2"/>
  <c r="E18" i="2"/>
  <c r="E20" i="2" s="1"/>
  <c r="E21" i="2" s="1"/>
  <c r="E23" i="2" s="1"/>
  <c r="E24" i="2" s="1"/>
  <c r="E25" i="2" s="1"/>
  <c r="E26" i="2" s="1"/>
  <c r="D18" i="2"/>
  <c r="H5" i="6"/>
  <c r="O4" i="6"/>
  <c r="N7" i="6"/>
  <c r="D20" i="2"/>
  <c r="D21" i="2" s="1"/>
  <c r="D23" i="2" s="1"/>
  <c r="D24" i="2" s="1"/>
  <c r="D25" i="2" s="1"/>
  <c r="D26" i="2" s="1"/>
  <c r="F20" i="2"/>
  <c r="F21" i="2"/>
  <c r="F23" i="2"/>
  <c r="F24" i="2" s="1"/>
  <c r="F25" i="2" s="1"/>
  <c r="F26" i="2" s="1"/>
  <c r="F25" i="1"/>
  <c r="F9" i="1"/>
  <c r="F11" i="1" s="1"/>
  <c r="F16" i="1" s="1"/>
  <c r="H28" i="2" l="1"/>
  <c r="C21" i="2"/>
  <c r="C23" i="2" s="1"/>
  <c r="C24" i="2" s="1"/>
  <c r="H6" i="6"/>
  <c r="O5" i="6"/>
  <c r="N8" i="6"/>
  <c r="F10" i="1"/>
  <c r="F15" i="1" s="1"/>
  <c r="F17" i="1" s="1"/>
  <c r="F18" i="1" s="1"/>
  <c r="F19" i="1" s="1"/>
  <c r="F20" i="1" s="1"/>
  <c r="F22" i="1" s="1"/>
  <c r="F23" i="1" s="1"/>
  <c r="C25" i="2" l="1"/>
  <c r="C26" i="2" s="1"/>
  <c r="H7" i="6"/>
  <c r="O6" i="6"/>
  <c r="N9" i="6"/>
  <c r="F21" i="1"/>
  <c r="H8" i="6" l="1"/>
  <c r="O7" i="6"/>
  <c r="N10" i="6"/>
  <c r="H9" i="6" l="1"/>
  <c r="O8" i="6"/>
  <c r="N11" i="6"/>
  <c r="H10" i="6" l="1"/>
  <c r="O9" i="6"/>
  <c r="N12" i="6"/>
  <c r="H11" i="6" l="1"/>
  <c r="O10" i="6"/>
  <c r="N13" i="6"/>
  <c r="H12" i="6" l="1"/>
  <c r="O11" i="6"/>
  <c r="N14" i="6"/>
  <c r="H13" i="6" l="1"/>
  <c r="O12" i="6"/>
  <c r="H14" i="6" l="1"/>
  <c r="O14" i="6" s="1"/>
  <c r="O13" i="6"/>
</calcChain>
</file>

<file path=xl/sharedStrings.xml><?xml version="1.0" encoding="utf-8"?>
<sst xmlns="http://schemas.openxmlformats.org/spreadsheetml/2006/main" count="622" uniqueCount="336">
  <si>
    <t>1 Roll</t>
  </si>
  <si>
    <t>700 Pcs</t>
  </si>
  <si>
    <t>50 taka</t>
  </si>
  <si>
    <t>1 Roll Price</t>
  </si>
  <si>
    <t>3200 pcs</t>
  </si>
  <si>
    <t>Printer</t>
  </si>
  <si>
    <t>In 6 month total Roll needed (499200/700)</t>
  </si>
  <si>
    <t>Roll cost (713 pcs * 50tk)</t>
  </si>
  <si>
    <t>1 Poucg price</t>
  </si>
  <si>
    <t>3 Tk</t>
  </si>
  <si>
    <t>Im 6 month pouche needed (499200/100)</t>
  </si>
  <si>
    <t>Pouche cost (4992*3)</t>
  </si>
  <si>
    <t>Total Cost</t>
  </si>
  <si>
    <t>Overhaed (15%)</t>
  </si>
  <si>
    <t>Final Cost</t>
  </si>
  <si>
    <t>Per floor per day pcs needed</t>
  </si>
  <si>
    <t>In 6 month total pcs needed (3200*26*6)</t>
  </si>
  <si>
    <t>Cost per pc</t>
  </si>
  <si>
    <t>Cost per Roll (700*.14)</t>
  </si>
  <si>
    <t>Selling price per pc (.20 profit)</t>
  </si>
  <si>
    <t>Selling price per Roll (700*.34)</t>
  </si>
  <si>
    <t>Per pc profit</t>
  </si>
  <si>
    <t>Costing based on 6 months:</t>
  </si>
  <si>
    <t>6 months requirements:</t>
  </si>
  <si>
    <t>Estimated profit for 1 month</t>
  </si>
  <si>
    <t>G500</t>
  </si>
  <si>
    <t>RT700i</t>
  </si>
  <si>
    <t>Feature</t>
  </si>
  <si>
    <t>203 DPI</t>
  </si>
  <si>
    <t>300 DPI</t>
  </si>
  <si>
    <t>50–60 labels/min</t>
  </si>
  <si>
    <t>45–55 labels/min</t>
  </si>
  <si>
    <t>70–90 labels/min</t>
  </si>
  <si>
    <t>Medium</t>
  </si>
  <si>
    <t>4–8 months</t>
  </si>
  <si>
    <t>50–60 cuts/min</t>
  </si>
  <si>
    <t>Cutter Speed</t>
  </si>
  <si>
    <t>45–55 cuts/min</t>
  </si>
  <si>
    <t>70–90 cuts/min</t>
  </si>
  <si>
    <t>Per Day</t>
  </si>
  <si>
    <t>Yearly (300)</t>
  </si>
  <si>
    <t>Requirements in Pcs:</t>
  </si>
  <si>
    <t>1 Paper Roll (200 meter)</t>
  </si>
  <si>
    <t>BDT 450</t>
  </si>
  <si>
    <t>3150 Pcs</t>
  </si>
  <si>
    <t>1 Paper Rol ((200*39.37)/2.5)</t>
  </si>
  <si>
    <t>1 Pcs Cost (450/3150)</t>
  </si>
  <si>
    <t>Paper Costing</t>
  </si>
  <si>
    <t>Ribbon Costing</t>
  </si>
  <si>
    <t>1 Ribbon Roll (300 meter)</t>
  </si>
  <si>
    <t>BDT 300</t>
  </si>
  <si>
    <t>1 Ribbon Rol ((300*39.37)/2.5)</t>
  </si>
  <si>
    <t>4724 Pcs</t>
  </si>
  <si>
    <t>1 Pcs Cost (300/4724)</t>
  </si>
  <si>
    <t>Total Cost (0.14+0.06)</t>
  </si>
  <si>
    <t>Printer Cost</t>
  </si>
  <si>
    <t>Yearly Paper/Ribbon Cost</t>
  </si>
  <si>
    <t>Overhead (15%)</t>
  </si>
  <si>
    <t>Cost per Pcs</t>
  </si>
  <si>
    <t>Cost Calculation</t>
  </si>
  <si>
    <t>Mergin per month</t>
  </si>
  <si>
    <t>ZX420i</t>
  </si>
  <si>
    <t>65–80 cuts/min</t>
  </si>
  <si>
    <t>65–80 labels/min</t>
  </si>
  <si>
    <t>Print Resolution</t>
  </si>
  <si>
    <t>Print Speed</t>
  </si>
  <si>
    <t>Real Speed with Cutter</t>
  </si>
  <si>
    <t>Duty Level</t>
  </si>
  <si>
    <t>Medium (Desktop)</t>
  </si>
  <si>
    <t>Industrial (Heavy)</t>
  </si>
  <si>
    <t>High-End Desktop</t>
  </si>
  <si>
    <t>Recommended Daily Use</t>
  </si>
  <si>
    <t>&lt; 2,000 labels</t>
  </si>
  <si>
    <t>&lt; 1,500 labels</t>
  </si>
  <si>
    <t>10,000 - 15,000+</t>
  </si>
  <si>
    <t>3,000 - 5,000</t>
  </si>
  <si>
    <t>Stability for Long Run</t>
  </si>
  <si>
    <t>Very High (Metal)</t>
  </si>
  <si>
    <t>High (Plastic)</t>
  </si>
  <si>
    <t>Cutter Life (at 7k/day)</t>
  </si>
  <si>
    <t>1–2 months</t>
  </si>
  <si>
    <t>3–5 months</t>
  </si>
  <si>
    <t>Printer Setup Cost</t>
  </si>
  <si>
    <t>Cutter Module Cost</t>
  </si>
  <si>
    <t>Realistic Year 1 Cost</t>
  </si>
  <si>
    <t>5 IPS (85-100 labels/min)</t>
  </si>
  <si>
    <t>4 IPS (70-85 labels/min)</t>
  </si>
  <si>
    <t>7 IPS (120-140 labels/min)</t>
  </si>
  <si>
    <t>6 IPS (100-120 labels/min)</t>
  </si>
  <si>
    <t>BDT 26,000–BDT 30,000</t>
  </si>
  <si>
    <t>BDT 19,000–BDT 22,000</t>
  </si>
  <si>
    <t>BDT 43,000</t>
  </si>
  <si>
    <t>BDT 95,000–BDT 99,000</t>
  </si>
  <si>
    <t>BDT 35,000–BDT 45,000</t>
  </si>
  <si>
    <t>BDT 55,000–BDT 65,000</t>
  </si>
  <si>
    <t>BDT 28,000–BDT 35,000</t>
  </si>
  <si>
    <r>
      <t>High</t>
    </r>
    <r>
      <rPr>
        <sz val="10"/>
        <color theme="1"/>
        <rFont val="Arial"/>
        <family val="2"/>
      </rPr>
      <t xml:space="preserve"> (3+ blades, 2 printheads)</t>
    </r>
  </si>
  <si>
    <r>
      <t>High</t>
    </r>
    <r>
      <rPr>
        <sz val="10"/>
        <color theme="1"/>
        <rFont val="Arial"/>
        <family val="2"/>
      </rPr>
      <t xml:space="preserve"> (4+ blades, 2 printheads)</t>
    </r>
  </si>
  <si>
    <r>
      <t>Low</t>
    </r>
    <r>
      <rPr>
        <sz val="10"/>
        <color theme="1"/>
        <rFont val="Arial"/>
        <family val="2"/>
      </rPr>
      <t xml:space="preserve"> (1 blade, 1 printhead)</t>
    </r>
  </si>
  <si>
    <r>
      <t>Moderate</t>
    </r>
    <r>
      <rPr>
        <sz val="10"/>
        <color theme="1"/>
        <rFont val="Arial"/>
        <family val="2"/>
      </rPr>
      <t xml:space="preserve"> (2 blades, 1 printhead)</t>
    </r>
  </si>
  <si>
    <t>Yearly Maintenance required</t>
  </si>
  <si>
    <t>G500 (2 printer)</t>
  </si>
  <si>
    <t>G530 (2 Printer)</t>
  </si>
  <si>
    <t>Counting Facility</t>
  </si>
  <si>
    <t>TSC MH-340T 300</t>
  </si>
  <si>
    <t>Sato CL4NX Plus 305 DPI Barcode Thermal Label Printer</t>
  </si>
  <si>
    <t>Gainscha GI-2408T</t>
  </si>
  <si>
    <t>Availability</t>
  </si>
  <si>
    <t>Industrial Barcode Printer Comparison Report</t>
  </si>
  <si>
    <t>For 40,000 Labels/Day Garments Bundle Tracking with Auto Cutter</t>
  </si>
  <si>
    <t>TSC MH-340T</t>
  </si>
  <si>
    <t>SATO CL4NX Plus</t>
  </si>
  <si>
    <t>Category</t>
  </si>
  <si>
    <t>Desktop</t>
  </si>
  <si>
    <t>Industrial</t>
  </si>
  <si>
    <t>Industrial Mid-High</t>
  </si>
  <si>
    <t>Enterprise Industrial</t>
  </si>
  <si>
    <t>Light Industrial</t>
  </si>
  <si>
    <t>305 DPI</t>
  </si>
  <si>
    <t>Max Print Speed</t>
  </si>
  <si>
    <t>5 IPS</t>
  </si>
  <si>
    <t>6 IPS</t>
  </si>
  <si>
    <t>12 IPS</t>
  </si>
  <si>
    <t xml:space="preserve">14 IPS </t>
  </si>
  <si>
    <t>8 IPS</t>
  </si>
  <si>
    <t>Real Production with Cutter</t>
  </si>
  <si>
    <t>60–85 labels/min</t>
  </si>
  <si>
    <t>60–75 labels/min</t>
  </si>
  <si>
    <t>Recommended Daily Volume</t>
  </si>
  <si>
    <t>&lt;2k</t>
  </si>
  <si>
    <t>10k–15k</t>
  </si>
  <si>
    <t>15k–25k</t>
  </si>
  <si>
    <t>20k–30k+</t>
  </si>
  <si>
    <t>5k–10k</t>
  </si>
  <si>
    <t>Suitable for 40k/day?</t>
  </si>
  <si>
    <t>❌ No</t>
  </si>
  <si>
    <t>⚠️ Possible with 3 units</t>
  </si>
  <si>
    <t>✅ Yes</t>
  </si>
  <si>
    <t>✅ Best</t>
  </si>
  <si>
    <t>⚠️ Risky</t>
  </si>
  <si>
    <t>Metal Chassis</t>
  </si>
  <si>
    <t>Partial</t>
  </si>
  <si>
    <t>Full Metal</t>
  </si>
  <si>
    <t xml:space="preserve">Full Industrial Metal </t>
  </si>
  <si>
    <t>Partial Metal</t>
  </si>
  <si>
    <t>Cutter Durability</t>
  </si>
  <si>
    <t>Low</t>
  </si>
  <si>
    <t>Medium-High</t>
  </si>
  <si>
    <t>High</t>
  </si>
  <si>
    <t xml:space="preserve">Very High (500k cuts rotary cutter) </t>
  </si>
  <si>
    <t>Synthetic/Non-tearable Media Support</t>
  </si>
  <si>
    <t>Limited</t>
  </si>
  <si>
    <t>Good</t>
  </si>
  <si>
    <t>Very Good</t>
  </si>
  <si>
    <t xml:space="preserve">Excellent </t>
  </si>
  <si>
    <t>Continuous Shift Operation</t>
  </si>
  <si>
    <t>❌</t>
  </si>
  <si>
    <t>✅</t>
  </si>
  <si>
    <t>✅✅</t>
  </si>
  <si>
    <t>⚠️</t>
  </si>
  <si>
    <t>Heat Management</t>
  </si>
  <si>
    <t>Weak</t>
  </si>
  <si>
    <t>Excellent</t>
  </si>
  <si>
    <t>Noise Level</t>
  </si>
  <si>
    <t>Low-Medium</t>
  </si>
  <si>
    <t>Barcode Quality</t>
  </si>
  <si>
    <t>Small Label Accuracy</t>
  </si>
  <si>
    <t xml:space="preserve">Very High </t>
  </si>
  <si>
    <t>Ribbon Capacity</t>
  </si>
  <si>
    <t xml:space="preserve">Very High (600m) </t>
  </si>
  <si>
    <t>Media Roll Capacity</t>
  </si>
  <si>
    <t>Small</t>
  </si>
  <si>
    <t>Large</t>
  </si>
  <si>
    <t xml:space="preserve">Very Large (10-inch OD) </t>
  </si>
  <si>
    <t>Downtime Risk</t>
  </si>
  <si>
    <t>Very High</t>
  </si>
  <si>
    <t>Very Low</t>
  </si>
  <si>
    <t>Maintenance Frequency</t>
  </si>
  <si>
    <t>Spare Parts Availability BD</t>
  </si>
  <si>
    <t>Local Technician Availability</t>
  </si>
  <si>
    <t>Ease of ERP Integration</t>
  </si>
  <si>
    <t>Basic</t>
  </si>
  <si>
    <t>Enterprise Grade</t>
  </si>
  <si>
    <t>Printhead Life</t>
  </si>
  <si>
    <t>Cutter Blade Replacement Cycle</t>
  </si>
  <si>
    <t>8–12 months</t>
  </si>
  <si>
    <t>12+ months</t>
  </si>
  <si>
    <t>4–6 months</t>
  </si>
  <si>
    <t>Estimated Printer Price (BDT)</t>
  </si>
  <si>
    <t>26k–30k</t>
  </si>
  <si>
    <t>95k–99k</t>
  </si>
  <si>
    <t>110k–125k</t>
  </si>
  <si>
    <t>220k–300k</t>
  </si>
  <si>
    <t>55k–70k</t>
  </si>
  <si>
    <t>Cutter Module Price (BDT)</t>
  </si>
  <si>
    <t>19k–22k</t>
  </si>
  <si>
    <t>35k–45k</t>
  </si>
  <si>
    <t>30k–40k</t>
  </si>
  <si>
    <t>45k–70k</t>
  </si>
  <si>
    <t>20k–28k</t>
  </si>
  <si>
    <t>Realistic Year-1 Cost</t>
  </si>
  <si>
    <t>~95k</t>
  </si>
  <si>
    <t>~150k</t>
  </si>
  <si>
    <t>~125k–160k</t>
  </si>
  <si>
    <t>~300k–380k</t>
  </si>
  <si>
    <t>~90k–115k</t>
  </si>
  <si>
    <t>Best Use Case</t>
  </si>
  <si>
    <t>Small shop</t>
  </si>
  <si>
    <t>Medium factory</t>
  </si>
  <si>
    <t>Large garments</t>
  </si>
  <si>
    <t>Enterprise production</t>
  </si>
  <si>
    <t>Budget semi-industrial</t>
  </si>
  <si>
    <t>Real-World Production Recommendation</t>
  </si>
  <si>
    <t>Scenario: 40,000 Labels/Day</t>
  </si>
  <si>
    <t>Option</t>
  </si>
  <si>
    <t>Required Qty</t>
  </si>
  <si>
    <t>Expected Stability</t>
  </si>
  <si>
    <t>Recommendation</t>
  </si>
  <si>
    <t>8–10 printers</t>
  </si>
  <si>
    <t>Very Poor</t>
  </si>
  <si>
    <t>❌ Avoid</t>
  </si>
  <si>
    <t>GI-2408T</t>
  </si>
  <si>
    <t>5–6 printers</t>
  </si>
  <si>
    <t>Medium Risk</t>
  </si>
  <si>
    <t>❌ Not Ideal</t>
  </si>
  <si>
    <t>3 printers</t>
  </si>
  <si>
    <t>✅ Budget Industrial</t>
  </si>
  <si>
    <t>✅ Recommended</t>
  </si>
  <si>
    <t>2 printers</t>
  </si>
  <si>
    <t>✅ Premium Choice</t>
  </si>
  <si>
    <t>Use Case: 40,000 Labels/Day | 3" × 3" Synthetic Bundle Tracking Labels | Auto Cutter Required</t>
  </si>
  <si>
    <t>Printer Category</t>
  </si>
  <si>
    <t>Industrial High-Speed</t>
  </si>
  <si>
    <t>Resolution</t>
  </si>
  <si>
    <t>14 IPS</t>
  </si>
  <si>
    <t>Estimated Real Print Speed (3"x3" with cutter)</t>
  </si>
  <si>
    <t>80–100 labels/min</t>
  </si>
  <si>
    <t>75–95 labels/min</t>
  </si>
  <si>
    <t>55–70 labels/min</t>
  </si>
  <si>
    <t>Estimated Stable Production/Day</t>
  </si>
  <si>
    <t>Number of Printers Required for 40k/day</t>
  </si>
  <si>
    <t>8–10</t>
  </si>
  <si>
    <t>2–3</t>
  </si>
  <si>
    <t>5–6</t>
  </si>
  <si>
    <t>Suitable for Continuous Production</t>
  </si>
  <si>
    <t>✅✅✅</t>
  </si>
  <si>
    <t>Auto Cutter Support</t>
  </si>
  <si>
    <t>Yes</t>
  </si>
  <si>
    <t>Recommended Cutter Model</t>
  </si>
  <si>
    <t>Standard Guillotine Cutter</t>
  </si>
  <si>
    <t>ZX Auto Cutter Module</t>
  </si>
  <si>
    <t>Heavy Duty Guillotine Cutter</t>
  </si>
  <si>
    <t>Standard Auto Cutter</t>
  </si>
  <si>
    <t>Cutter Type</t>
  </si>
  <si>
    <t>Guillotine</t>
  </si>
  <si>
    <t>Heavy-Duty Guillotine</t>
  </si>
  <si>
    <t>Rotary Industrial Cutter</t>
  </si>
  <si>
    <t>Estimated Cutter Life @7k/day</t>
  </si>
  <si>
    <t>12–18 months</t>
  </si>
  <si>
    <t>✅ Advanced Counter</t>
  </si>
  <si>
    <t>Counting Accuracy</t>
  </si>
  <si>
    <t>300m</t>
  </si>
  <si>
    <t>600m</t>
  </si>
  <si>
    <t>Media Roll Capacity (Outer Diameter)</t>
  </si>
  <si>
    <t>5 inch</t>
  </si>
  <si>
    <t>8 inch</t>
  </si>
  <si>
    <t>8.2 inch</t>
  </si>
  <si>
    <t>10 inch</t>
  </si>
  <si>
    <t>Approx Labels per Roll (3"x3")</t>
  </si>
  <si>
    <t>~2,500</t>
  </si>
  <si>
    <t>~5,000</t>
  </si>
  <si>
    <t>~5,500</t>
  </si>
  <si>
    <t>~7,000</t>
  </si>
  <si>
    <t>Synthetic Media Support</t>
  </si>
  <si>
    <t>Resin Ribbon Support</t>
  </si>
  <si>
    <t>Barcode Sharpness</t>
  </si>
  <si>
    <t>Small Barcode Accuracy</t>
  </si>
  <si>
    <t>Long Shift Heat Stability</t>
  </si>
  <si>
    <t>Printhead Durability</t>
  </si>
  <si>
    <t>Full Industrial Metal</t>
  </si>
  <si>
    <t>Local Spare Availability (Bangladesh)</t>
  </si>
  <si>
    <t>ERP/Software Integration</t>
  </si>
  <si>
    <t>Printer Price (BDT)</t>
  </si>
  <si>
    <t>Estimated Total Setup for 40k/day</t>
  </si>
  <si>
    <t>Overall Cost Efficiency</t>
  </si>
  <si>
    <t>Poor</t>
  </si>
  <si>
    <t>Premium</t>
  </si>
  <si>
    <t>Recommended for Your Use Case</t>
  </si>
  <si>
    <t>✅✅ Recommended</t>
  </si>
  <si>
    <t>✅ Premium</t>
  </si>
  <si>
    <t>Rotary HD Cutter</t>
  </si>
  <si>
    <t>Printer Warranty</t>
  </si>
  <si>
    <t>6–12 months (local dependent)</t>
  </si>
  <si>
    <t>1 year typical</t>
  </si>
  <si>
    <t xml:space="preserve">2 years </t>
  </si>
  <si>
    <t xml:space="preserve">1 year global warranty </t>
  </si>
  <si>
    <t>Cutter Warranty</t>
  </si>
  <si>
    <t>3–6 months typical</t>
  </si>
  <si>
    <t>6–12 months typical</t>
  </si>
  <si>
    <t xml:space="preserve">1 year </t>
  </si>
  <si>
    <t xml:space="preserve">1 year or 300k–500k cuts depending on cutter type </t>
  </si>
  <si>
    <t>Yearly Maintenance (Printer + Cutter)</t>
  </si>
  <si>
    <t>Printer+Cutter Cost</t>
  </si>
  <si>
    <t>Yearly Maintanance</t>
  </si>
  <si>
    <t>Selling Price :</t>
  </si>
  <si>
    <t>Month-1</t>
  </si>
  <si>
    <t>Month-2</t>
  </si>
  <si>
    <t>Month-3</t>
  </si>
  <si>
    <t>Month-4</t>
  </si>
  <si>
    <t>Month-5</t>
  </si>
  <si>
    <t>Month-6</t>
  </si>
  <si>
    <t>Month-7</t>
  </si>
  <si>
    <t>Month-8</t>
  </si>
  <si>
    <t>Month-9</t>
  </si>
  <si>
    <t>Month-10</t>
  </si>
  <si>
    <t>Month-11</t>
  </si>
  <si>
    <t>Month-12</t>
  </si>
  <si>
    <t>Period</t>
  </si>
  <si>
    <t>Printer/Cutter</t>
  </si>
  <si>
    <t>Maintanance</t>
  </si>
  <si>
    <t>Paper</t>
  </si>
  <si>
    <t>Total</t>
  </si>
  <si>
    <t>Investment Required</t>
  </si>
  <si>
    <t>Overhaead</t>
  </si>
  <si>
    <t>Rate</t>
  </si>
  <si>
    <t>Days</t>
  </si>
  <si>
    <t>Qty (Daily)</t>
  </si>
  <si>
    <t>Cumulative</t>
  </si>
  <si>
    <t>ROI</t>
  </si>
  <si>
    <t>Sales (IN)</t>
  </si>
  <si>
    <t>Expenses (OUT)</t>
  </si>
  <si>
    <t>Total Paper</t>
  </si>
  <si>
    <t>Monthly</t>
  </si>
  <si>
    <t>Per Pc cost</t>
  </si>
  <si>
    <t>Selling Price : 0.57</t>
  </si>
  <si>
    <t>VAT (7.5%)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</si>
</sst>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0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92D05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rgb="FFDCDFE5"/>
      </bottom>
      <diagonal/>
    </border>
    <border>
      <left/>
      <right style="medium">
        <color indexed="64"/>
      </right>
      <top/>
      <bottom style="medium">
        <color rgb="FFDCDF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3">
    <xf numFmtId="0" fontId="0" fillId="0" borderId="0" xfId="0"/>
    <xf numFmtId="0" fontId="0" fillId="0" borderId="0" xfId="0" applyAlignment="1">
      <alignment horizontal="right"/>
    </xf>
    <xf numFmtId="0" fontId="0" fillId="0" borderId="9" xfId="0" applyBorder="1"/>
    <xf numFmtId="0" fontId="0" fillId="0" borderId="10" xfId="0" applyBorder="1" applyAlignment="1">
      <alignment horizontal="right"/>
    </xf>
    <xf numFmtId="164" fontId="0" fillId="0" borderId="10" xfId="1" applyNumberFormat="1" applyFont="1" applyBorder="1" applyAlignment="1">
      <alignment horizontal="right"/>
    </xf>
    <xf numFmtId="0" fontId="2" fillId="0" borderId="9" xfId="0" applyFont="1" applyBorder="1"/>
    <xf numFmtId="0" fontId="0" fillId="0" borderId="14" xfId="0" applyBorder="1" applyAlignment="1">
      <alignment horizontal="right"/>
    </xf>
    <xf numFmtId="0" fontId="0" fillId="2" borderId="7" xfId="0" applyFill="1" applyBorder="1"/>
    <xf numFmtId="0" fontId="0" fillId="2" borderId="8" xfId="0" applyFill="1" applyBorder="1" applyAlignment="1">
      <alignment horizontal="right"/>
    </xf>
    <xf numFmtId="0" fontId="0" fillId="2" borderId="9" xfId="0" applyFill="1" applyBorder="1"/>
    <xf numFmtId="0" fontId="0" fillId="2" borderId="10" xfId="0" applyFill="1" applyBorder="1" applyAlignment="1">
      <alignment horizontal="right"/>
    </xf>
    <xf numFmtId="0" fontId="0" fillId="2" borderId="11" xfId="0" applyFill="1" applyBorder="1"/>
    <xf numFmtId="0" fontId="0" fillId="2" borderId="12" xfId="0" applyFill="1" applyBorder="1" applyAlignment="1">
      <alignment horizontal="right"/>
    </xf>
    <xf numFmtId="0" fontId="2" fillId="0" borderId="13" xfId="0" applyFont="1" applyBorder="1"/>
    <xf numFmtId="0" fontId="0" fillId="3" borderId="9" xfId="0" applyFill="1" applyBorder="1"/>
    <xf numFmtId="164" fontId="0" fillId="3" borderId="10" xfId="1" applyNumberFormat="1" applyFont="1" applyFill="1" applyBorder="1" applyAlignment="1">
      <alignment horizontal="right"/>
    </xf>
    <xf numFmtId="0" fontId="0" fillId="4" borderId="9" xfId="0" applyFill="1" applyBorder="1"/>
    <xf numFmtId="0" fontId="0" fillId="4" borderId="10" xfId="0" applyFill="1" applyBorder="1" applyAlignment="1">
      <alignment horizontal="right"/>
    </xf>
    <xf numFmtId="164" fontId="0" fillId="4" borderId="10" xfId="1" applyNumberFormat="1" applyFont="1" applyFill="1" applyBorder="1" applyAlignment="1">
      <alignment horizontal="right"/>
    </xf>
    <xf numFmtId="43" fontId="0" fillId="3" borderId="10" xfId="0" applyNumberFormat="1" applyFill="1" applyBorder="1" applyAlignment="1">
      <alignment horizontal="right"/>
    </xf>
    <xf numFmtId="164" fontId="0" fillId="3" borderId="10" xfId="0" applyNumberFormat="1" applyFill="1" applyBorder="1" applyAlignment="1">
      <alignment horizontal="right"/>
    </xf>
    <xf numFmtId="0" fontId="2" fillId="3" borderId="9" xfId="0" applyFont="1" applyFill="1" applyBorder="1"/>
    <xf numFmtId="164" fontId="2" fillId="3" borderId="10" xfId="0" applyNumberFormat="1" applyFont="1" applyFill="1" applyBorder="1" applyAlignment="1">
      <alignment horizontal="right"/>
    </xf>
    <xf numFmtId="0" fontId="0" fillId="3" borderId="11" xfId="0" applyFill="1" applyBorder="1"/>
    <xf numFmtId="164" fontId="0" fillId="3" borderId="12" xfId="0" applyNumberFormat="1" applyFill="1" applyBorder="1" applyAlignment="1">
      <alignment horizontal="right"/>
    </xf>
    <xf numFmtId="0" fontId="2" fillId="5" borderId="3" xfId="0" applyFont="1" applyFill="1" applyBorder="1"/>
    <xf numFmtId="164" fontId="2" fillId="5" borderId="4" xfId="0" applyNumberFormat="1" applyFont="1" applyFill="1" applyBorder="1" applyAlignment="1">
      <alignment horizontal="right"/>
    </xf>
    <xf numFmtId="0" fontId="2" fillId="6" borderId="1" xfId="0" applyFont="1" applyFill="1" applyBorder="1"/>
    <xf numFmtId="2" fontId="2" fillId="6" borderId="2" xfId="0" applyNumberFormat="1" applyFont="1" applyFill="1" applyBorder="1" applyAlignment="1">
      <alignment horizontal="right"/>
    </xf>
    <xf numFmtId="0" fontId="2" fillId="6" borderId="3" xfId="0" applyFont="1" applyFill="1" applyBorder="1"/>
    <xf numFmtId="2" fontId="2" fillId="6" borderId="4" xfId="0" applyNumberFormat="1" applyFont="1" applyFill="1" applyBorder="1" applyAlignment="1">
      <alignment horizontal="right"/>
    </xf>
    <xf numFmtId="0" fontId="2" fillId="7" borderId="1" xfId="0" applyFont="1" applyFill="1" applyBorder="1"/>
    <xf numFmtId="2" fontId="2" fillId="7" borderId="2" xfId="0" applyNumberFormat="1" applyFont="1" applyFill="1" applyBorder="1" applyAlignment="1">
      <alignment horizontal="right"/>
    </xf>
    <xf numFmtId="0" fontId="2" fillId="7" borderId="3" xfId="0" applyFont="1" applyFill="1" applyBorder="1"/>
    <xf numFmtId="1" fontId="2" fillId="7" borderId="4" xfId="0" applyNumberFormat="1" applyFont="1" applyFill="1" applyBorder="1"/>
    <xf numFmtId="0" fontId="2" fillId="8" borderId="5" xfId="0" applyFont="1" applyFill="1" applyBorder="1"/>
    <xf numFmtId="164" fontId="2" fillId="8" borderId="6" xfId="1" applyNumberFormat="1" applyFont="1" applyFill="1" applyBorder="1" applyAlignment="1">
      <alignment horizontal="right"/>
    </xf>
    <xf numFmtId="164" fontId="0" fillId="0" borderId="0" xfId="1" applyNumberFormat="1" applyFont="1"/>
    <xf numFmtId="164" fontId="0" fillId="0" borderId="10" xfId="1" applyNumberFormat="1" applyFont="1" applyBorder="1"/>
    <xf numFmtId="0" fontId="0" fillId="0" borderId="11" xfId="0" applyBorder="1"/>
    <xf numFmtId="164" fontId="0" fillId="0" borderId="12" xfId="1" applyNumberFormat="1" applyFont="1" applyBorder="1"/>
    <xf numFmtId="0" fontId="2" fillId="0" borderId="11" xfId="0" applyFont="1" applyBorder="1"/>
    <xf numFmtId="43" fontId="2" fillId="0" borderId="12" xfId="1" applyNumberFormat="1" applyFont="1" applyBorder="1"/>
    <xf numFmtId="0" fontId="2" fillId="10" borderId="17" xfId="0" applyFont="1" applyFill="1" applyBorder="1"/>
    <xf numFmtId="43" fontId="2" fillId="10" borderId="19" xfId="1" applyNumberFormat="1" applyFont="1" applyFill="1" applyBorder="1"/>
    <xf numFmtId="164" fontId="0" fillId="0" borderId="15" xfId="0" applyNumberFormat="1" applyBorder="1"/>
    <xf numFmtId="164" fontId="2" fillId="0" borderId="15" xfId="0" applyNumberFormat="1" applyFont="1" applyBorder="1"/>
    <xf numFmtId="164" fontId="0" fillId="0" borderId="10" xfId="0" applyNumberFormat="1" applyBorder="1"/>
    <xf numFmtId="164" fontId="2" fillId="0" borderId="10" xfId="0" applyNumberFormat="1" applyFont="1" applyBorder="1"/>
    <xf numFmtId="0" fontId="0" fillId="0" borderId="7" xfId="0" applyBorder="1"/>
    <xf numFmtId="164" fontId="0" fillId="0" borderId="20" xfId="0" applyNumberFormat="1" applyBorder="1"/>
    <xf numFmtId="164" fontId="0" fillId="0" borderId="8" xfId="0" applyNumberFormat="1" applyBorder="1"/>
    <xf numFmtId="0" fontId="2" fillId="0" borderId="21" xfId="0" applyFont="1" applyBorder="1"/>
    <xf numFmtId="164" fontId="2" fillId="0" borderId="16" xfId="0" applyNumberFormat="1" applyFont="1" applyBorder="1"/>
    <xf numFmtId="164" fontId="2" fillId="0" borderId="22" xfId="0" applyNumberFormat="1" applyFont="1" applyBorder="1"/>
    <xf numFmtId="0" fontId="3" fillId="11" borderId="17" xfId="0" applyFont="1" applyFill="1" applyBorder="1"/>
    <xf numFmtId="2" fontId="3" fillId="11" borderId="18" xfId="0" applyNumberFormat="1" applyFont="1" applyFill="1" applyBorder="1"/>
    <xf numFmtId="2" fontId="3" fillId="11" borderId="19" xfId="0" applyNumberFormat="1" applyFont="1" applyFill="1" applyBorder="1"/>
    <xf numFmtId="0" fontId="3" fillId="10" borderId="17" xfId="0" applyFont="1" applyFill="1" applyBorder="1" applyAlignment="1">
      <alignment vertical="center" wrapText="1"/>
    </xf>
    <xf numFmtId="0" fontId="4" fillId="10" borderId="6" xfId="0" applyFont="1" applyFill="1" applyBorder="1" applyAlignment="1">
      <alignment horizontal="right" vertical="center" wrapText="1"/>
    </xf>
    <xf numFmtId="0" fontId="3" fillId="9" borderId="25" xfId="0" applyFont="1" applyFill="1" applyBorder="1"/>
    <xf numFmtId="2" fontId="3" fillId="9" borderId="26" xfId="0" applyNumberFormat="1" applyFont="1" applyFill="1" applyBorder="1" applyAlignment="1"/>
    <xf numFmtId="164" fontId="3" fillId="12" borderId="18" xfId="1" applyNumberFormat="1" applyFont="1" applyFill="1" applyBorder="1" applyAlignment="1">
      <alignment vertical="top"/>
    </xf>
    <xf numFmtId="164" fontId="3" fillId="12" borderId="19" xfId="1" applyNumberFormat="1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7" fillId="11" borderId="15" xfId="0" applyFont="1" applyFill="1" applyBorder="1" applyAlignment="1">
      <alignment vertical="center" wrapText="1"/>
    </xf>
    <xf numFmtId="0" fontId="9" fillId="11" borderId="15" xfId="0" applyFont="1" applyFill="1" applyBorder="1" applyAlignment="1">
      <alignment vertical="center" wrapText="1"/>
    </xf>
    <xf numFmtId="0" fontId="8" fillId="11" borderId="15" xfId="0" applyFont="1" applyFill="1" applyBorder="1" applyAlignment="1">
      <alignment vertical="center" wrapText="1"/>
    </xf>
    <xf numFmtId="0" fontId="10" fillId="11" borderId="15" xfId="0" applyFont="1" applyFill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0" borderId="20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11" borderId="9" xfId="0" applyFont="1" applyFill="1" applyBorder="1" applyAlignment="1">
      <alignment vertical="center" wrapText="1"/>
    </xf>
    <xf numFmtId="0" fontId="8" fillId="11" borderId="10" xfId="0" applyFont="1" applyFill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6" fillId="11" borderId="11" xfId="0" applyFont="1" applyFill="1" applyBorder="1" applyAlignment="1">
      <alignment vertical="center" wrapText="1"/>
    </xf>
    <xf numFmtId="164" fontId="11" fillId="11" borderId="29" xfId="1" applyNumberFormat="1" applyFont="1" applyFill="1" applyBorder="1"/>
    <xf numFmtId="164" fontId="12" fillId="11" borderId="29" xfId="1" applyNumberFormat="1" applyFont="1" applyFill="1" applyBorder="1"/>
    <xf numFmtId="164" fontId="13" fillId="11" borderId="29" xfId="1" applyNumberFormat="1" applyFont="1" applyFill="1" applyBorder="1"/>
    <xf numFmtId="164" fontId="12" fillId="11" borderId="12" xfId="1" applyNumberFormat="1" applyFont="1" applyFill="1" applyBorder="1"/>
    <xf numFmtId="0" fontId="4" fillId="10" borderId="23" xfId="0" applyFont="1" applyFill="1" applyBorder="1" applyAlignment="1">
      <alignment vertical="center" wrapText="1"/>
    </xf>
    <xf numFmtId="0" fontId="4" fillId="10" borderId="24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10" borderId="15" xfId="0" applyFont="1" applyFill="1" applyBorder="1" applyAlignment="1">
      <alignment horizontal="center" vertical="center" wrapText="1"/>
    </xf>
    <xf numFmtId="0" fontId="0" fillId="0" borderId="15" xfId="0" applyBorder="1"/>
    <xf numFmtId="0" fontId="6" fillId="11" borderId="15" xfId="0" applyFont="1" applyFill="1" applyBorder="1" applyAlignment="1">
      <alignment vertical="center" wrapText="1"/>
    </xf>
    <xf numFmtId="164" fontId="11" fillId="11" borderId="15" xfId="1" applyNumberFormat="1" applyFont="1" applyFill="1" applyBorder="1"/>
    <xf numFmtId="164" fontId="13" fillId="11" borderId="15" xfId="1" applyNumberFormat="1" applyFont="1" applyFill="1" applyBorder="1"/>
    <xf numFmtId="164" fontId="12" fillId="11" borderId="15" xfId="1" applyNumberFormat="1" applyFont="1" applyFill="1" applyBorder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11" borderId="15" xfId="0" applyFill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11" borderId="16" xfId="0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11" borderId="30" xfId="0" applyFill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" fillId="10" borderId="17" xfId="0" applyFont="1" applyFill="1" applyBorder="1" applyAlignment="1">
      <alignment horizontal="center" vertical="center" wrapText="1"/>
    </xf>
    <xf numFmtId="0" fontId="2" fillId="10" borderId="18" xfId="0" applyFont="1" applyFill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2" fillId="13" borderId="17" xfId="0" applyFont="1" applyFill="1" applyBorder="1" applyAlignment="1">
      <alignment vertical="center" wrapText="1"/>
    </xf>
    <xf numFmtId="0" fontId="2" fillId="13" borderId="18" xfId="0" applyFont="1" applyFill="1" applyBorder="1" applyAlignment="1">
      <alignment vertical="center" wrapText="1"/>
    </xf>
    <xf numFmtId="0" fontId="20" fillId="13" borderId="18" xfId="0" applyFont="1" applyFill="1" applyBorder="1" applyAlignment="1">
      <alignment vertical="center" wrapText="1"/>
    </xf>
    <xf numFmtId="0" fontId="14" fillId="13" borderId="18" xfId="0" applyFont="1" applyFill="1" applyBorder="1" applyAlignment="1">
      <alignment horizontal="center" vertical="center" wrapText="1"/>
    </xf>
    <xf numFmtId="0" fontId="2" fillId="13" borderId="18" xfId="0" applyFont="1" applyFill="1" applyBorder="1" applyAlignment="1">
      <alignment horizontal="center" vertical="center" wrapText="1"/>
    </xf>
    <xf numFmtId="0" fontId="19" fillId="13" borderId="19" xfId="0" applyFont="1" applyFill="1" applyBorder="1" applyAlignment="1">
      <alignment horizontal="center" vertical="center" wrapText="1"/>
    </xf>
    <xf numFmtId="3" fontId="0" fillId="0" borderId="0" xfId="0" applyNumberFormat="1"/>
    <xf numFmtId="3" fontId="18" fillId="11" borderId="15" xfId="0" applyNumberFormat="1" applyFont="1" applyFill="1" applyBorder="1" applyAlignment="1">
      <alignment vertical="center" wrapText="1"/>
    </xf>
    <xf numFmtId="3" fontId="0" fillId="0" borderId="15" xfId="0" applyNumberFormat="1" applyBorder="1" applyAlignment="1">
      <alignment vertical="center" wrapText="1"/>
    </xf>
    <xf numFmtId="3" fontId="0" fillId="11" borderId="15" xfId="0" applyNumberFormat="1" applyFill="1" applyBorder="1" applyAlignment="1">
      <alignment vertical="center" wrapText="1"/>
    </xf>
    <xf numFmtId="3" fontId="0" fillId="0" borderId="10" xfId="0" applyNumberFormat="1" applyBorder="1" applyAlignment="1">
      <alignment vertical="center" wrapText="1"/>
    </xf>
    <xf numFmtId="164" fontId="0" fillId="0" borderId="30" xfId="0" applyNumberFormat="1" applyBorder="1"/>
    <xf numFmtId="0" fontId="2" fillId="0" borderId="15" xfId="0" applyFont="1" applyBorder="1"/>
    <xf numFmtId="0" fontId="3" fillId="11" borderId="15" xfId="0" applyFont="1" applyFill="1" applyBorder="1"/>
    <xf numFmtId="2" fontId="3" fillId="11" borderId="15" xfId="0" applyNumberFormat="1" applyFont="1" applyFill="1" applyBorder="1"/>
    <xf numFmtId="0" fontId="3" fillId="9" borderId="15" xfId="0" applyFont="1" applyFill="1" applyBorder="1"/>
    <xf numFmtId="2" fontId="3" fillId="9" borderId="15" xfId="0" applyNumberFormat="1" applyFont="1" applyFill="1" applyBorder="1" applyAlignment="1"/>
    <xf numFmtId="164" fontId="3" fillId="12" borderId="15" xfId="1" applyNumberFormat="1" applyFont="1" applyFill="1" applyBorder="1" applyAlignment="1">
      <alignment vertical="top"/>
    </xf>
    <xf numFmtId="0" fontId="0" fillId="0" borderId="30" xfId="0" applyBorder="1"/>
    <xf numFmtId="0" fontId="3" fillId="10" borderId="5" xfId="0" applyFont="1" applyFill="1" applyBorder="1" applyAlignment="1">
      <alignment vertical="center" wrapText="1"/>
    </xf>
    <xf numFmtId="0" fontId="4" fillId="10" borderId="24" xfId="0" applyFont="1" applyFill="1" applyBorder="1" applyAlignment="1">
      <alignment horizontal="right" vertical="center" wrapText="1"/>
    </xf>
    <xf numFmtId="0" fontId="4" fillId="10" borderId="6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164" fontId="0" fillId="0" borderId="0" xfId="0" applyNumberFormat="1"/>
    <xf numFmtId="43" fontId="0" fillId="0" borderId="0" xfId="0" applyNumberFormat="1"/>
    <xf numFmtId="0" fontId="2" fillId="13" borderId="15" xfId="0" applyFont="1" applyFill="1" applyBorder="1"/>
    <xf numFmtId="0" fontId="0" fillId="13" borderId="15" xfId="0" applyFill="1" applyBorder="1"/>
    <xf numFmtId="164" fontId="0" fillId="11" borderId="15" xfId="1" applyNumberFormat="1" applyFont="1" applyFill="1" applyBorder="1"/>
    <xf numFmtId="0" fontId="0" fillId="11" borderId="15" xfId="0" applyFill="1" applyBorder="1"/>
    <xf numFmtId="0" fontId="2" fillId="12" borderId="15" xfId="0" applyFont="1" applyFill="1" applyBorder="1"/>
    <xf numFmtId="164" fontId="0" fillId="12" borderId="15" xfId="1" applyNumberFormat="1" applyFont="1" applyFill="1" applyBorder="1"/>
    <xf numFmtId="0" fontId="0" fillId="12" borderId="15" xfId="0" applyFill="1" applyBorder="1"/>
    <xf numFmtId="164" fontId="0" fillId="12" borderId="15" xfId="0" applyNumberFormat="1" applyFill="1" applyBorder="1"/>
    <xf numFmtId="164" fontId="2" fillId="12" borderId="15" xfId="0" applyNumberFormat="1" applyFont="1" applyFill="1" applyBorder="1"/>
    <xf numFmtId="164" fontId="2" fillId="11" borderId="15" xfId="1" applyNumberFormat="1" applyFont="1" applyFill="1" applyBorder="1"/>
    <xf numFmtId="0" fontId="2" fillId="11" borderId="30" xfId="0" applyFont="1" applyFill="1" applyBorder="1"/>
    <xf numFmtId="164" fontId="2" fillId="11" borderId="30" xfId="1" applyNumberFormat="1" applyFont="1" applyFill="1" applyBorder="1"/>
    <xf numFmtId="0" fontId="2" fillId="12" borderId="30" xfId="0" applyFont="1" applyFill="1" applyBorder="1"/>
    <xf numFmtId="164" fontId="2" fillId="11" borderId="34" xfId="1" applyNumberFormat="1" applyFont="1" applyFill="1" applyBorder="1"/>
    <xf numFmtId="43" fontId="2" fillId="11" borderId="31" xfId="0" applyNumberFormat="1" applyFont="1" applyFill="1" applyBorder="1"/>
    <xf numFmtId="0" fontId="0" fillId="4" borderId="38" xfId="0" applyFill="1" applyBorder="1"/>
    <xf numFmtId="164" fontId="2" fillId="4" borderId="37" xfId="0" applyNumberFormat="1" applyFont="1" applyFill="1" applyBorder="1"/>
    <xf numFmtId="164" fontId="2" fillId="11" borderId="31" xfId="1" applyNumberFormat="1" applyFont="1" applyFill="1" applyBorder="1"/>
    <xf numFmtId="164" fontId="2" fillId="11" borderId="31" xfId="0" applyNumberFormat="1" applyFont="1" applyFill="1" applyBorder="1"/>
    <xf numFmtId="2" fontId="0" fillId="0" borderId="0" xfId="0" applyNumberFormat="1"/>
    <xf numFmtId="43" fontId="0" fillId="0" borderId="20" xfId="0" applyNumberFormat="1" applyBorder="1"/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left" vertical="center"/>
    </xf>
    <xf numFmtId="0" fontId="2" fillId="14" borderId="35" xfId="0" applyFont="1" applyFill="1" applyBorder="1" applyAlignment="1">
      <alignment horizontal="center" vertical="center"/>
    </xf>
    <xf numFmtId="0" fontId="2" fillId="14" borderId="36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0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24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164" fontId="3" fillId="12" borderId="0" xfId="1" applyNumberFormat="1" applyFont="1" applyFill="1" applyBorder="1" applyAlignment="1">
      <alignment vertical="top"/>
    </xf>
    <xf numFmtId="43" fontId="0" fillId="0" borderId="15" xfId="0" applyNumberFormat="1" applyBorder="1"/>
    <xf numFmtId="0" fontId="0" fillId="0" borderId="21" xfId="0" applyBorder="1"/>
    <xf numFmtId="43" fontId="0" fillId="0" borderId="16" xfId="0" applyNumberFormat="1" applyBorder="1"/>
    <xf numFmtId="164" fontId="0" fillId="0" borderId="16" xfId="0" applyNumberFormat="1" applyBorder="1"/>
    <xf numFmtId="164" fontId="0" fillId="0" borderId="22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F25"/>
  <sheetViews>
    <sheetView workbookViewId="0">
      <selection activeCell="C29" sqref="C29"/>
    </sheetView>
  </sheetViews>
  <sheetFormatPr defaultRowHeight="14.4" x14ac:dyDescent="0.3"/>
  <cols>
    <col min="5" max="5" width="36.88671875" bestFit="1" customWidth="1"/>
    <col min="6" max="6" width="11.109375" style="1" customWidth="1"/>
  </cols>
  <sheetData>
    <row r="2" spans="5:6" ht="15" thickBot="1" x14ac:dyDescent="0.35"/>
    <row r="3" spans="5:6" x14ac:dyDescent="0.3">
      <c r="E3" s="7" t="s">
        <v>0</v>
      </c>
      <c r="F3" s="8" t="s">
        <v>1</v>
      </c>
    </row>
    <row r="4" spans="5:6" x14ac:dyDescent="0.3">
      <c r="E4" s="9" t="s">
        <v>3</v>
      </c>
      <c r="F4" s="10" t="s">
        <v>2</v>
      </c>
    </row>
    <row r="5" spans="5:6" x14ac:dyDescent="0.3">
      <c r="E5" s="9" t="s">
        <v>8</v>
      </c>
      <c r="F5" s="10" t="s">
        <v>9</v>
      </c>
    </row>
    <row r="6" spans="5:6" ht="15" thickBot="1" x14ac:dyDescent="0.35">
      <c r="E6" s="11" t="s">
        <v>21</v>
      </c>
      <c r="F6" s="12">
        <v>0.2</v>
      </c>
    </row>
    <row r="7" spans="5:6" x14ac:dyDescent="0.3">
      <c r="E7" s="13" t="s">
        <v>23</v>
      </c>
      <c r="F7" s="6"/>
    </row>
    <row r="8" spans="5:6" x14ac:dyDescent="0.3">
      <c r="E8" s="16" t="s">
        <v>15</v>
      </c>
      <c r="F8" s="17" t="s">
        <v>4</v>
      </c>
    </row>
    <row r="9" spans="5:6" x14ac:dyDescent="0.3">
      <c r="E9" s="16" t="s">
        <v>16</v>
      </c>
      <c r="F9" s="18">
        <f>3200*26*6</f>
        <v>499200</v>
      </c>
    </row>
    <row r="10" spans="5:6" x14ac:dyDescent="0.3">
      <c r="E10" s="16" t="s">
        <v>6</v>
      </c>
      <c r="F10" s="18">
        <f>F9/700</f>
        <v>713.14285714285711</v>
      </c>
    </row>
    <row r="11" spans="5:6" x14ac:dyDescent="0.3">
      <c r="E11" s="16" t="s">
        <v>10</v>
      </c>
      <c r="F11" s="18">
        <f>F9/100</f>
        <v>4992</v>
      </c>
    </row>
    <row r="12" spans="5:6" x14ac:dyDescent="0.3">
      <c r="E12" s="2"/>
      <c r="F12" s="3"/>
    </row>
    <row r="13" spans="5:6" x14ac:dyDescent="0.3">
      <c r="E13" s="5" t="s">
        <v>22</v>
      </c>
      <c r="F13" s="4"/>
    </row>
    <row r="14" spans="5:6" x14ac:dyDescent="0.3">
      <c r="E14" s="14" t="s">
        <v>5</v>
      </c>
      <c r="F14" s="15">
        <v>8500</v>
      </c>
    </row>
    <row r="15" spans="5:6" x14ac:dyDescent="0.3">
      <c r="E15" s="14" t="s">
        <v>7</v>
      </c>
      <c r="F15" s="19">
        <f>F10*50</f>
        <v>35657.142857142855</v>
      </c>
    </row>
    <row r="16" spans="5:6" x14ac:dyDescent="0.3">
      <c r="E16" s="14" t="s">
        <v>11</v>
      </c>
      <c r="F16" s="20">
        <f>F11*3</f>
        <v>14976</v>
      </c>
    </row>
    <row r="17" spans="5:6" x14ac:dyDescent="0.3">
      <c r="E17" s="21" t="s">
        <v>12</v>
      </c>
      <c r="F17" s="22">
        <f>SUM(F14:F16)</f>
        <v>59133.142857142855</v>
      </c>
    </row>
    <row r="18" spans="5:6" ht="15" thickBot="1" x14ac:dyDescent="0.35">
      <c r="E18" s="23" t="s">
        <v>13</v>
      </c>
      <c r="F18" s="24">
        <f>F17*15%</f>
        <v>8869.9714285714272</v>
      </c>
    </row>
    <row r="19" spans="5:6" ht="15" thickBot="1" x14ac:dyDescent="0.35">
      <c r="E19" s="25" t="s">
        <v>14</v>
      </c>
      <c r="F19" s="26">
        <f>F17+F18</f>
        <v>68003.114285714284</v>
      </c>
    </row>
    <row r="20" spans="5:6" x14ac:dyDescent="0.3">
      <c r="E20" s="27" t="s">
        <v>17</v>
      </c>
      <c r="F20" s="28">
        <f>F19/F9</f>
        <v>0.13622418727106228</v>
      </c>
    </row>
    <row r="21" spans="5:6" ht="15" thickBot="1" x14ac:dyDescent="0.35">
      <c r="E21" s="29" t="s">
        <v>18</v>
      </c>
      <c r="F21" s="30">
        <f>F20*700</f>
        <v>95.356931089743597</v>
      </c>
    </row>
    <row r="22" spans="5:6" x14ac:dyDescent="0.3">
      <c r="E22" s="31" t="s">
        <v>19</v>
      </c>
      <c r="F22" s="32">
        <f>F20+0.2</f>
        <v>0.33622418727106229</v>
      </c>
    </row>
    <row r="23" spans="5:6" ht="15" thickBot="1" x14ac:dyDescent="0.35">
      <c r="E23" s="33" t="s">
        <v>20</v>
      </c>
      <c r="F23" s="34">
        <f>F22*700</f>
        <v>235.3569310897436</v>
      </c>
    </row>
    <row r="24" spans="5:6" ht="15" thickBot="1" x14ac:dyDescent="0.35"/>
    <row r="25" spans="5:6" ht="15" thickBot="1" x14ac:dyDescent="0.35">
      <c r="E25" s="35" t="s">
        <v>24</v>
      </c>
      <c r="F25" s="36">
        <f>3200*0.2*26</f>
        <v>16640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8"/>
  <sheetViews>
    <sheetView tabSelected="1" topLeftCell="A2" workbookViewId="0">
      <selection activeCell="H25" sqref="H25"/>
    </sheetView>
  </sheetViews>
  <sheetFormatPr defaultRowHeight="14.4" x14ac:dyDescent="0.3"/>
  <cols>
    <col min="1" max="1" width="0.6640625" customWidth="1"/>
    <col min="2" max="2" width="42.77734375" customWidth="1"/>
    <col min="3" max="4" width="23.6640625" bestFit="1" customWidth="1"/>
    <col min="5" max="5" width="23.6640625" customWidth="1"/>
    <col min="6" max="6" width="34.77734375" bestFit="1" customWidth="1"/>
    <col min="8" max="8" width="26.33203125" customWidth="1"/>
    <col min="9" max="9" width="12.5546875" style="37" bestFit="1" customWidth="1"/>
  </cols>
  <sheetData>
    <row r="1" spans="2:10" x14ac:dyDescent="0.3">
      <c r="B1" s="73" t="s">
        <v>27</v>
      </c>
      <c r="C1" s="74" t="s">
        <v>101</v>
      </c>
      <c r="D1" s="74" t="s">
        <v>102</v>
      </c>
      <c r="E1" s="74" t="s">
        <v>61</v>
      </c>
      <c r="F1" s="75" t="s">
        <v>26</v>
      </c>
      <c r="H1" s="161" t="s">
        <v>41</v>
      </c>
      <c r="I1" s="162"/>
    </row>
    <row r="2" spans="2:10" x14ac:dyDescent="0.3">
      <c r="B2" s="76" t="s">
        <v>64</v>
      </c>
      <c r="C2" s="66" t="s">
        <v>28</v>
      </c>
      <c r="D2" s="66" t="s">
        <v>29</v>
      </c>
      <c r="E2" s="66" t="s">
        <v>28</v>
      </c>
      <c r="F2" s="77" t="s">
        <v>28</v>
      </c>
      <c r="H2" s="2" t="s">
        <v>39</v>
      </c>
      <c r="I2" s="38">
        <v>20000</v>
      </c>
    </row>
    <row r="3" spans="2:10" ht="15" thickBot="1" x14ac:dyDescent="0.35">
      <c r="B3" s="76" t="s">
        <v>65</v>
      </c>
      <c r="C3" s="67" t="s">
        <v>85</v>
      </c>
      <c r="D3" s="67" t="s">
        <v>86</v>
      </c>
      <c r="E3" s="67" t="s">
        <v>88</v>
      </c>
      <c r="F3" s="78" t="s">
        <v>87</v>
      </c>
      <c r="H3" s="39" t="s">
        <v>40</v>
      </c>
      <c r="I3" s="40">
        <f>I2*300</f>
        <v>6000000</v>
      </c>
    </row>
    <row r="4" spans="2:10" ht="15" thickBot="1" x14ac:dyDescent="0.35">
      <c r="B4" s="76" t="s">
        <v>36</v>
      </c>
      <c r="C4" s="66" t="s">
        <v>35</v>
      </c>
      <c r="D4" s="66" t="s">
        <v>37</v>
      </c>
      <c r="E4" s="66" t="s">
        <v>62</v>
      </c>
      <c r="F4" s="77" t="s">
        <v>38</v>
      </c>
    </row>
    <row r="5" spans="2:10" x14ac:dyDescent="0.3">
      <c r="B5" s="79" t="s">
        <v>66</v>
      </c>
      <c r="C5" s="69" t="s">
        <v>30</v>
      </c>
      <c r="D5" s="70" t="s">
        <v>31</v>
      </c>
      <c r="E5" s="71" t="s">
        <v>63</v>
      </c>
      <c r="F5" s="80" t="s">
        <v>32</v>
      </c>
      <c r="H5" s="163" t="s">
        <v>47</v>
      </c>
      <c r="I5" s="164"/>
    </row>
    <row r="6" spans="2:10" x14ac:dyDescent="0.3">
      <c r="B6" s="76" t="s">
        <v>67</v>
      </c>
      <c r="C6" s="66" t="s">
        <v>68</v>
      </c>
      <c r="D6" s="66" t="s">
        <v>68</v>
      </c>
      <c r="E6" s="72" t="s">
        <v>69</v>
      </c>
      <c r="F6" s="77" t="s">
        <v>70</v>
      </c>
      <c r="H6" s="2" t="s">
        <v>42</v>
      </c>
      <c r="I6" s="38" t="s">
        <v>43</v>
      </c>
    </row>
    <row r="7" spans="2:10" x14ac:dyDescent="0.3">
      <c r="B7" s="79" t="s">
        <v>71</v>
      </c>
      <c r="C7" s="69" t="s">
        <v>72</v>
      </c>
      <c r="D7" s="70" t="s">
        <v>73</v>
      </c>
      <c r="E7" s="68" t="s">
        <v>74</v>
      </c>
      <c r="F7" s="80" t="s">
        <v>75</v>
      </c>
      <c r="H7" s="2" t="s">
        <v>45</v>
      </c>
      <c r="I7" s="38" t="s">
        <v>44</v>
      </c>
      <c r="J7">
        <f>(200*39.37)/2</f>
        <v>3936.9999999999995</v>
      </c>
    </row>
    <row r="8" spans="2:10" ht="15" thickBot="1" x14ac:dyDescent="0.35">
      <c r="B8" s="76" t="s">
        <v>76</v>
      </c>
      <c r="C8" s="66" t="s">
        <v>33</v>
      </c>
      <c r="D8" s="66" t="s">
        <v>33</v>
      </c>
      <c r="E8" s="65" t="s">
        <v>77</v>
      </c>
      <c r="F8" s="77" t="s">
        <v>78</v>
      </c>
      <c r="H8" s="41" t="s">
        <v>46</v>
      </c>
      <c r="I8" s="42">
        <v>0.14000000000000001</v>
      </c>
      <c r="J8">
        <f>450/J7</f>
        <v>0.11430022860045722</v>
      </c>
    </row>
    <row r="9" spans="2:10" ht="15" thickBot="1" x14ac:dyDescent="0.35">
      <c r="B9" s="79" t="s">
        <v>79</v>
      </c>
      <c r="C9" s="69" t="s">
        <v>80</v>
      </c>
      <c r="D9" s="70" t="s">
        <v>80</v>
      </c>
      <c r="E9" s="71" t="s">
        <v>34</v>
      </c>
      <c r="F9" s="80" t="s">
        <v>81</v>
      </c>
    </row>
    <row r="10" spans="2:10" x14ac:dyDescent="0.3">
      <c r="B10" s="76" t="s">
        <v>82</v>
      </c>
      <c r="C10" s="66" t="s">
        <v>89</v>
      </c>
      <c r="D10" s="66" t="s">
        <v>91</v>
      </c>
      <c r="E10" s="66" t="s">
        <v>92</v>
      </c>
      <c r="F10" s="77" t="s">
        <v>94</v>
      </c>
      <c r="H10" s="163" t="s">
        <v>48</v>
      </c>
      <c r="I10" s="164"/>
    </row>
    <row r="11" spans="2:10" x14ac:dyDescent="0.3">
      <c r="B11" s="76" t="s">
        <v>83</v>
      </c>
      <c r="C11" s="66" t="s">
        <v>90</v>
      </c>
      <c r="D11" s="66" t="s">
        <v>90</v>
      </c>
      <c r="E11" s="66" t="s">
        <v>93</v>
      </c>
      <c r="F11" s="77" t="s">
        <v>95</v>
      </c>
      <c r="H11" s="2" t="s">
        <v>49</v>
      </c>
      <c r="I11" s="38" t="s">
        <v>50</v>
      </c>
    </row>
    <row r="12" spans="2:10" ht="26.4" x14ac:dyDescent="0.3">
      <c r="B12" s="76" t="s">
        <v>100</v>
      </c>
      <c r="C12" s="65" t="s">
        <v>96</v>
      </c>
      <c r="D12" s="65" t="s">
        <v>97</v>
      </c>
      <c r="E12" s="65" t="s">
        <v>98</v>
      </c>
      <c r="F12" s="81" t="s">
        <v>99</v>
      </c>
      <c r="H12" s="2" t="s">
        <v>51</v>
      </c>
      <c r="I12" s="38" t="s">
        <v>52</v>
      </c>
      <c r="J12">
        <f>(300*39.37)/2</f>
        <v>5905.5</v>
      </c>
    </row>
    <row r="13" spans="2:10" ht="15" thickBot="1" x14ac:dyDescent="0.35">
      <c r="B13" s="82" t="s">
        <v>84</v>
      </c>
      <c r="C13" s="83">
        <f>95000+40000</f>
        <v>135000</v>
      </c>
      <c r="D13" s="84">
        <f>115000+45000</f>
        <v>160000</v>
      </c>
      <c r="E13" s="85">
        <v>150000</v>
      </c>
      <c r="F13" s="86">
        <v>125000</v>
      </c>
      <c r="H13" s="41" t="s">
        <v>53</v>
      </c>
      <c r="I13" s="42">
        <v>0.06</v>
      </c>
      <c r="J13">
        <f>300/J12</f>
        <v>5.08001016002032E-2</v>
      </c>
    </row>
    <row r="14" spans="2:10" ht="15" hidden="1" customHeight="1" thickBot="1" x14ac:dyDescent="0.35">
      <c r="B14" s="64" t="s">
        <v>84</v>
      </c>
    </row>
    <row r="15" spans="2:10" ht="15" thickBot="1" x14ac:dyDescent="0.35">
      <c r="C15">
        <f>160000+14000+80000</f>
        <v>254000</v>
      </c>
      <c r="H15" s="43" t="s">
        <v>54</v>
      </c>
      <c r="I15" s="44">
        <v>0.2</v>
      </c>
      <c r="J15">
        <f>J8+J13</f>
        <v>0.16510033020066042</v>
      </c>
    </row>
    <row r="16" spans="2:10" ht="6" customHeight="1" thickBot="1" x14ac:dyDescent="0.35"/>
    <row r="17" spans="2:9" ht="21.6" customHeight="1" thickBot="1" x14ac:dyDescent="0.35">
      <c r="B17" s="58" t="s">
        <v>59</v>
      </c>
      <c r="C17" s="87"/>
      <c r="D17" s="88"/>
      <c r="E17" s="88"/>
      <c r="F17" s="59" t="s">
        <v>334</v>
      </c>
      <c r="H17" s="165"/>
      <c r="I17" s="165"/>
    </row>
    <row r="18" spans="2:9" x14ac:dyDescent="0.3">
      <c r="B18" s="49" t="s">
        <v>56</v>
      </c>
      <c r="C18" s="160">
        <f>$I$3*$J$15</f>
        <v>990601.98120396258</v>
      </c>
      <c r="D18" s="50">
        <f t="shared" ref="D18:F18" si="0">$I$3*$I$15</f>
        <v>1200000</v>
      </c>
      <c r="E18" s="50">
        <f t="shared" si="0"/>
        <v>1200000</v>
      </c>
      <c r="F18" s="51">
        <f t="shared" si="0"/>
        <v>1200000</v>
      </c>
    </row>
    <row r="19" spans="2:9" x14ac:dyDescent="0.3">
      <c r="B19" s="2" t="s">
        <v>55</v>
      </c>
      <c r="C19" s="45">
        <f>C15</f>
        <v>254000</v>
      </c>
      <c r="D19" s="45">
        <f>D13</f>
        <v>160000</v>
      </c>
      <c r="E19" s="45">
        <f>E13</f>
        <v>150000</v>
      </c>
      <c r="F19" s="47">
        <f>F13</f>
        <v>125000</v>
      </c>
    </row>
    <row r="20" spans="2:9" x14ac:dyDescent="0.3">
      <c r="B20" s="5" t="s">
        <v>12</v>
      </c>
      <c r="C20" s="46">
        <f>SUM(C18:C19)</f>
        <v>1244601.9812039626</v>
      </c>
      <c r="D20" s="46">
        <f t="shared" ref="D20:F20" si="1">SUM(D18:D19)</f>
        <v>1360000</v>
      </c>
      <c r="E20" s="46">
        <f t="shared" si="1"/>
        <v>1350000</v>
      </c>
      <c r="F20" s="48">
        <f t="shared" si="1"/>
        <v>1325000</v>
      </c>
      <c r="H20">
        <v>25000</v>
      </c>
    </row>
    <row r="21" spans="2:9" x14ac:dyDescent="0.3">
      <c r="B21" s="2" t="s">
        <v>57</v>
      </c>
      <c r="C21" s="178">
        <f>C20*40%</f>
        <v>497840.79248158506</v>
      </c>
      <c r="D21" s="45">
        <f t="shared" ref="D21:F21" si="2">D20*15%</f>
        <v>204000</v>
      </c>
      <c r="E21" s="45">
        <f t="shared" si="2"/>
        <v>202500</v>
      </c>
      <c r="F21" s="47">
        <f t="shared" si="2"/>
        <v>198750</v>
      </c>
      <c r="H21">
        <v>5000</v>
      </c>
    </row>
    <row r="22" spans="2:9" x14ac:dyDescent="0.3">
      <c r="B22" s="179" t="s">
        <v>335</v>
      </c>
      <c r="C22" s="180">
        <f>((I3*0.57)*7.5/100)</f>
        <v>256499.99999999997</v>
      </c>
      <c r="D22" s="181"/>
      <c r="E22" s="181"/>
      <c r="F22" s="182"/>
    </row>
    <row r="23" spans="2:9" ht="15" thickBot="1" x14ac:dyDescent="0.35">
      <c r="B23" s="52" t="s">
        <v>14</v>
      </c>
      <c r="C23" s="53">
        <f>SUM(C20:C22)</f>
        <v>1998942.7736855475</v>
      </c>
      <c r="D23" s="53">
        <f t="shared" ref="D23:F23" si="3">SUM(D20:D21)</f>
        <v>1564000</v>
      </c>
      <c r="E23" s="53">
        <f t="shared" si="3"/>
        <v>1552500</v>
      </c>
      <c r="F23" s="54">
        <f t="shared" si="3"/>
        <v>1523750</v>
      </c>
      <c r="H23">
        <v>5000</v>
      </c>
    </row>
    <row r="24" spans="2:9" ht="21.6" thickBot="1" x14ac:dyDescent="0.45">
      <c r="B24" s="55" t="s">
        <v>58</v>
      </c>
      <c r="C24" s="56">
        <f>C23/$I$3</f>
        <v>0.33315712894759125</v>
      </c>
      <c r="D24" s="56">
        <f t="shared" ref="D24:F24" si="4">D23/$I$3</f>
        <v>0.26066666666666666</v>
      </c>
      <c r="E24" s="56">
        <f t="shared" si="4"/>
        <v>0.25874999999999998</v>
      </c>
      <c r="F24" s="57">
        <f t="shared" si="4"/>
        <v>0.25395833333333334</v>
      </c>
      <c r="H24">
        <v>2000</v>
      </c>
    </row>
    <row r="25" spans="2:9" ht="21.6" thickBot="1" x14ac:dyDescent="0.45">
      <c r="B25" s="60" t="s">
        <v>60</v>
      </c>
      <c r="C25" s="61">
        <f>0.57-C24</f>
        <v>0.2368428710524087</v>
      </c>
      <c r="D25" s="61">
        <f t="shared" ref="D25:F25" si="5">0.4-D24</f>
        <v>0.13933333333333336</v>
      </c>
      <c r="E25" s="61">
        <f t="shared" si="5"/>
        <v>0.14125000000000004</v>
      </c>
      <c r="F25" s="61">
        <f t="shared" si="5"/>
        <v>0.14604166666666668</v>
      </c>
      <c r="H25">
        <f>SUM(H20:H24)</f>
        <v>37000</v>
      </c>
    </row>
    <row r="26" spans="2:9" ht="27" customHeight="1" thickBot="1" x14ac:dyDescent="0.35">
      <c r="B26" s="62" t="s">
        <v>24</v>
      </c>
      <c r="C26" s="62">
        <f>($I$3/12)*C25</f>
        <v>118421.43552620435</v>
      </c>
      <c r="D26" s="62">
        <f t="shared" ref="D26:F26" si="6">($I$3/12)*D25</f>
        <v>69666.666666666686</v>
      </c>
      <c r="E26" s="62">
        <f>($I$3/12)*E25</f>
        <v>70625.000000000015</v>
      </c>
      <c r="F26" s="63">
        <f t="shared" si="6"/>
        <v>73020.833333333343</v>
      </c>
      <c r="H26" s="177">
        <f>H25*80%</f>
        <v>29600</v>
      </c>
    </row>
    <row r="27" spans="2:9" x14ac:dyDescent="0.3">
      <c r="H27" s="138">
        <f>H26*12</f>
        <v>355200</v>
      </c>
    </row>
    <row r="28" spans="2:9" x14ac:dyDescent="0.3">
      <c r="H28">
        <f>H27/C20*100</f>
        <v>28.539244301732364</v>
      </c>
    </row>
  </sheetData>
  <mergeCells count="4">
    <mergeCell ref="H1:I1"/>
    <mergeCell ref="H5:I5"/>
    <mergeCell ref="H10:I10"/>
    <mergeCell ref="H17:I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workbookViewId="0">
      <selection activeCell="E2" sqref="E2"/>
    </sheetView>
  </sheetViews>
  <sheetFormatPr defaultColWidth="16.33203125" defaultRowHeight="14.4" x14ac:dyDescent="0.3"/>
  <cols>
    <col min="2" max="2" width="37.6640625" customWidth="1"/>
    <col min="3" max="5" width="26.21875" customWidth="1"/>
  </cols>
  <sheetData>
    <row r="2" spans="2:7" ht="52.8" x14ac:dyDescent="0.3">
      <c r="B2" s="90" t="s">
        <v>27</v>
      </c>
      <c r="C2" s="90" t="s">
        <v>25</v>
      </c>
      <c r="D2" s="90" t="s">
        <v>61</v>
      </c>
      <c r="E2" s="90" t="s">
        <v>104</v>
      </c>
      <c r="F2" s="90" t="s">
        <v>105</v>
      </c>
      <c r="G2" s="90" t="s">
        <v>106</v>
      </c>
    </row>
    <row r="3" spans="2:7" x14ac:dyDescent="0.3">
      <c r="B3" s="66" t="s">
        <v>64</v>
      </c>
      <c r="C3" s="66" t="s">
        <v>28</v>
      </c>
      <c r="D3" s="66" t="s">
        <v>28</v>
      </c>
      <c r="E3" s="66"/>
      <c r="F3" s="91"/>
      <c r="G3" s="91"/>
    </row>
    <row r="4" spans="2:7" x14ac:dyDescent="0.3">
      <c r="B4" s="66" t="s">
        <v>65</v>
      </c>
      <c r="C4" s="66" t="s">
        <v>85</v>
      </c>
      <c r="D4" s="66" t="s">
        <v>88</v>
      </c>
      <c r="E4" s="66"/>
      <c r="F4" s="91"/>
      <c r="G4" s="91"/>
    </row>
    <row r="5" spans="2:7" x14ac:dyDescent="0.3">
      <c r="B5" s="66" t="s">
        <v>36</v>
      </c>
      <c r="C5" s="66" t="s">
        <v>35</v>
      </c>
      <c r="D5" s="66" t="s">
        <v>62</v>
      </c>
      <c r="E5" s="66"/>
      <c r="F5" s="91"/>
      <c r="G5" s="91"/>
    </row>
    <row r="6" spans="2:7" x14ac:dyDescent="0.3">
      <c r="B6" s="70" t="s">
        <v>66</v>
      </c>
      <c r="C6" s="69" t="s">
        <v>30</v>
      </c>
      <c r="D6" s="71" t="s">
        <v>63</v>
      </c>
      <c r="E6" s="70"/>
      <c r="F6" s="91"/>
      <c r="G6" s="91"/>
    </row>
    <row r="7" spans="2:7" x14ac:dyDescent="0.3">
      <c r="B7" s="66" t="s">
        <v>67</v>
      </c>
      <c r="C7" s="66" t="s">
        <v>68</v>
      </c>
      <c r="D7" s="72" t="s">
        <v>69</v>
      </c>
      <c r="E7" s="66"/>
      <c r="F7" s="91"/>
      <c r="G7" s="91"/>
    </row>
    <row r="8" spans="2:7" x14ac:dyDescent="0.3">
      <c r="B8" s="70" t="s">
        <v>71</v>
      </c>
      <c r="C8" s="69" t="s">
        <v>72</v>
      </c>
      <c r="D8" s="68" t="s">
        <v>74</v>
      </c>
      <c r="E8" s="70"/>
      <c r="F8" s="91"/>
      <c r="G8" s="91"/>
    </row>
    <row r="9" spans="2:7" x14ac:dyDescent="0.3">
      <c r="B9" s="66" t="s">
        <v>76</v>
      </c>
      <c r="C9" s="66" t="s">
        <v>33</v>
      </c>
      <c r="D9" s="65" t="s">
        <v>77</v>
      </c>
      <c r="E9" s="66"/>
      <c r="F9" s="91"/>
      <c r="G9" s="91"/>
    </row>
    <row r="10" spans="2:7" x14ac:dyDescent="0.3">
      <c r="B10" s="70" t="s">
        <v>79</v>
      </c>
      <c r="C10" s="69" t="s">
        <v>80</v>
      </c>
      <c r="D10" s="71" t="s">
        <v>34</v>
      </c>
      <c r="E10" s="70"/>
      <c r="F10" s="91"/>
      <c r="G10" s="91"/>
    </row>
    <row r="11" spans="2:7" x14ac:dyDescent="0.3">
      <c r="B11" s="66" t="s">
        <v>82</v>
      </c>
      <c r="C11" s="66" t="s">
        <v>89</v>
      </c>
      <c r="D11" s="66" t="s">
        <v>92</v>
      </c>
      <c r="E11" s="66"/>
      <c r="F11" s="91"/>
      <c r="G11" s="91"/>
    </row>
    <row r="12" spans="2:7" x14ac:dyDescent="0.3">
      <c r="B12" s="66" t="s">
        <v>83</v>
      </c>
      <c r="C12" s="66" t="s">
        <v>90</v>
      </c>
      <c r="D12" s="66" t="s">
        <v>93</v>
      </c>
      <c r="E12" s="66"/>
      <c r="F12" s="91"/>
      <c r="G12" s="91"/>
    </row>
    <row r="13" spans="2:7" x14ac:dyDescent="0.3">
      <c r="B13" s="66" t="s">
        <v>100</v>
      </c>
      <c r="C13" s="65" t="s">
        <v>96</v>
      </c>
      <c r="D13" s="65" t="s">
        <v>98</v>
      </c>
      <c r="E13" s="65"/>
      <c r="F13" s="91"/>
      <c r="G13" s="91"/>
    </row>
    <row r="14" spans="2:7" x14ac:dyDescent="0.3">
      <c r="B14" s="65" t="s">
        <v>103</v>
      </c>
      <c r="C14" s="65"/>
      <c r="D14" s="65"/>
      <c r="E14" s="65"/>
      <c r="F14" s="91"/>
      <c r="G14" s="91"/>
    </row>
    <row r="15" spans="2:7" x14ac:dyDescent="0.3">
      <c r="B15" s="65" t="s">
        <v>107</v>
      </c>
      <c r="C15" s="65"/>
      <c r="D15" s="65"/>
      <c r="E15" s="65"/>
      <c r="F15" s="91"/>
      <c r="G15" s="91"/>
    </row>
    <row r="16" spans="2:7" x14ac:dyDescent="0.3">
      <c r="B16" s="92" t="s">
        <v>84</v>
      </c>
      <c r="C16" s="93">
        <v>95000</v>
      </c>
      <c r="D16" s="94">
        <v>150000</v>
      </c>
      <c r="E16" s="95">
        <v>125000</v>
      </c>
      <c r="F16" s="91"/>
      <c r="G16" s="9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5"/>
  <sheetViews>
    <sheetView topLeftCell="A37" workbookViewId="0">
      <selection activeCell="B49" sqref="B49"/>
    </sheetView>
  </sheetViews>
  <sheetFormatPr defaultRowHeight="14.4" x14ac:dyDescent="0.3"/>
  <cols>
    <col min="2" max="2" width="95.21875" bestFit="1" customWidth="1"/>
    <col min="3" max="4" width="8.6640625" bestFit="1" customWidth="1"/>
  </cols>
  <sheetData>
    <row r="2" spans="2:7" ht="31.2" x14ac:dyDescent="0.3">
      <c r="B2" s="96" t="s">
        <v>108</v>
      </c>
    </row>
    <row r="4" spans="2:7" ht="23.4" x14ac:dyDescent="0.3">
      <c r="B4" s="97" t="s">
        <v>109</v>
      </c>
    </row>
    <row r="6" spans="2:7" ht="43.2" x14ac:dyDescent="0.3">
      <c r="B6" s="98" t="s">
        <v>27</v>
      </c>
      <c r="C6" s="98" t="s">
        <v>25</v>
      </c>
      <c r="D6" s="98" t="s">
        <v>61</v>
      </c>
      <c r="E6" s="98" t="s">
        <v>110</v>
      </c>
      <c r="F6" s="98" t="s">
        <v>111</v>
      </c>
      <c r="G6" s="98" t="s">
        <v>106</v>
      </c>
    </row>
    <row r="7" spans="2:7" ht="43.2" x14ac:dyDescent="0.3">
      <c r="B7" s="89" t="s">
        <v>112</v>
      </c>
      <c r="C7" s="89" t="s">
        <v>113</v>
      </c>
      <c r="D7" s="89" t="s">
        <v>114</v>
      </c>
      <c r="E7" s="89" t="s">
        <v>115</v>
      </c>
      <c r="F7" s="89" t="s">
        <v>116</v>
      </c>
      <c r="G7" s="89" t="s">
        <v>117</v>
      </c>
    </row>
    <row r="8" spans="2:7" ht="43.2" x14ac:dyDescent="0.3">
      <c r="B8" s="89" t="s">
        <v>64</v>
      </c>
      <c r="C8" s="89" t="s">
        <v>28</v>
      </c>
      <c r="D8" s="89" t="s">
        <v>28</v>
      </c>
      <c r="E8" s="89" t="s">
        <v>29</v>
      </c>
      <c r="F8" s="89" t="s">
        <v>118</v>
      </c>
      <c r="G8" s="89" t="s">
        <v>28</v>
      </c>
    </row>
    <row r="9" spans="2:7" ht="28.8" x14ac:dyDescent="0.3">
      <c r="B9" s="89" t="s">
        <v>119</v>
      </c>
      <c r="C9" s="89" t="s">
        <v>120</v>
      </c>
      <c r="D9" s="89" t="s">
        <v>121</v>
      </c>
      <c r="E9" s="89" t="s">
        <v>122</v>
      </c>
      <c r="F9" s="89" t="s">
        <v>123</v>
      </c>
      <c r="G9" s="89" t="s">
        <v>124</v>
      </c>
    </row>
    <row r="10" spans="2:7" ht="43.2" x14ac:dyDescent="0.3">
      <c r="B10" s="89" t="s">
        <v>125</v>
      </c>
      <c r="C10" s="89" t="s">
        <v>30</v>
      </c>
      <c r="D10" s="89" t="s">
        <v>63</v>
      </c>
      <c r="E10" s="89" t="s">
        <v>32</v>
      </c>
      <c r="F10" s="89" t="s">
        <v>126</v>
      </c>
      <c r="G10" s="89" t="s">
        <v>127</v>
      </c>
    </row>
    <row r="11" spans="2:7" x14ac:dyDescent="0.3">
      <c r="B11" s="89" t="s">
        <v>128</v>
      </c>
      <c r="C11" s="89" t="s">
        <v>129</v>
      </c>
      <c r="D11" s="89" t="s">
        <v>130</v>
      </c>
      <c r="E11" s="89" t="s">
        <v>131</v>
      </c>
      <c r="F11" s="89" t="s">
        <v>132</v>
      </c>
      <c r="G11" s="89" t="s">
        <v>133</v>
      </c>
    </row>
    <row r="12" spans="2:7" ht="57.6" x14ac:dyDescent="0.3">
      <c r="B12" s="89" t="s">
        <v>134</v>
      </c>
      <c r="C12" s="89" t="s">
        <v>135</v>
      </c>
      <c r="D12" s="89" t="s">
        <v>136</v>
      </c>
      <c r="E12" s="89" t="s">
        <v>137</v>
      </c>
      <c r="F12" s="89" t="s">
        <v>138</v>
      </c>
      <c r="G12" s="89" t="s">
        <v>139</v>
      </c>
    </row>
    <row r="13" spans="2:7" ht="43.2" x14ac:dyDescent="0.3">
      <c r="B13" s="89" t="s">
        <v>140</v>
      </c>
      <c r="C13" s="89" t="s">
        <v>141</v>
      </c>
      <c r="D13" s="89" t="s">
        <v>142</v>
      </c>
      <c r="E13" s="89" t="s">
        <v>142</v>
      </c>
      <c r="F13" s="89" t="s">
        <v>143</v>
      </c>
      <c r="G13" s="89" t="s">
        <v>144</v>
      </c>
    </row>
    <row r="14" spans="2:7" ht="72" x14ac:dyDescent="0.3">
      <c r="B14" s="89" t="s">
        <v>145</v>
      </c>
      <c r="C14" s="89" t="s">
        <v>146</v>
      </c>
      <c r="D14" s="89" t="s">
        <v>147</v>
      </c>
      <c r="E14" s="89" t="s">
        <v>148</v>
      </c>
      <c r="F14" s="89" t="s">
        <v>149</v>
      </c>
      <c r="G14" s="89" t="s">
        <v>33</v>
      </c>
    </row>
    <row r="15" spans="2:7" ht="72" x14ac:dyDescent="0.3">
      <c r="B15" s="89" t="s">
        <v>150</v>
      </c>
      <c r="C15" s="89" t="s">
        <v>151</v>
      </c>
      <c r="D15" s="89" t="s">
        <v>152</v>
      </c>
      <c r="E15" s="89" t="s">
        <v>153</v>
      </c>
      <c r="F15" s="89" t="s">
        <v>154</v>
      </c>
      <c r="G15" s="89" t="s">
        <v>33</v>
      </c>
    </row>
    <row r="16" spans="2:7" x14ac:dyDescent="0.3">
      <c r="B16" s="89" t="s">
        <v>155</v>
      </c>
      <c r="C16" s="89" t="s">
        <v>156</v>
      </c>
      <c r="D16" s="89" t="s">
        <v>157</v>
      </c>
      <c r="E16" s="89" t="s">
        <v>157</v>
      </c>
      <c r="F16" s="89" t="s">
        <v>158</v>
      </c>
      <c r="G16" s="89" t="s">
        <v>159</v>
      </c>
    </row>
    <row r="17" spans="2:7" ht="43.2" x14ac:dyDescent="0.3">
      <c r="B17" s="89" t="s">
        <v>160</v>
      </c>
      <c r="C17" s="89" t="s">
        <v>161</v>
      </c>
      <c r="D17" s="89" t="s">
        <v>152</v>
      </c>
      <c r="E17" s="89" t="s">
        <v>153</v>
      </c>
      <c r="F17" s="89" t="s">
        <v>162</v>
      </c>
      <c r="G17" s="89" t="s">
        <v>33</v>
      </c>
    </row>
    <row r="18" spans="2:7" ht="28.8" x14ac:dyDescent="0.3">
      <c r="B18" s="89" t="s">
        <v>163</v>
      </c>
      <c r="C18" s="89" t="s">
        <v>33</v>
      </c>
      <c r="D18" s="89" t="s">
        <v>33</v>
      </c>
      <c r="E18" s="89" t="s">
        <v>33</v>
      </c>
      <c r="F18" s="89" t="s">
        <v>164</v>
      </c>
      <c r="G18" s="89" t="s">
        <v>33</v>
      </c>
    </row>
    <row r="19" spans="2:7" ht="28.8" x14ac:dyDescent="0.3">
      <c r="B19" s="89" t="s">
        <v>165</v>
      </c>
      <c r="C19" s="89" t="s">
        <v>33</v>
      </c>
      <c r="D19" s="89" t="s">
        <v>152</v>
      </c>
      <c r="E19" s="89" t="s">
        <v>162</v>
      </c>
      <c r="F19" s="89" t="s">
        <v>162</v>
      </c>
      <c r="G19" s="89" t="s">
        <v>152</v>
      </c>
    </row>
    <row r="20" spans="2:7" ht="43.2" x14ac:dyDescent="0.3">
      <c r="B20" s="89" t="s">
        <v>166</v>
      </c>
      <c r="C20" s="89" t="s">
        <v>161</v>
      </c>
      <c r="D20" s="89" t="s">
        <v>33</v>
      </c>
      <c r="E20" s="89" t="s">
        <v>148</v>
      </c>
      <c r="F20" s="89" t="s">
        <v>167</v>
      </c>
      <c r="G20" s="89" t="s">
        <v>33</v>
      </c>
    </row>
    <row r="21" spans="2:7" ht="28.8" x14ac:dyDescent="0.3">
      <c r="B21" s="89" t="s">
        <v>168</v>
      </c>
      <c r="C21" s="89" t="s">
        <v>146</v>
      </c>
      <c r="D21" s="89" t="s">
        <v>33</v>
      </c>
      <c r="E21" s="89" t="s">
        <v>148</v>
      </c>
      <c r="F21" s="89" t="s">
        <v>169</v>
      </c>
      <c r="G21" s="89" t="s">
        <v>33</v>
      </c>
    </row>
    <row r="22" spans="2:7" ht="43.2" x14ac:dyDescent="0.3">
      <c r="B22" s="89" t="s">
        <v>170</v>
      </c>
      <c r="C22" s="89" t="s">
        <v>171</v>
      </c>
      <c r="D22" s="89" t="s">
        <v>33</v>
      </c>
      <c r="E22" s="89" t="s">
        <v>172</v>
      </c>
      <c r="F22" s="89" t="s">
        <v>173</v>
      </c>
      <c r="G22" s="89" t="s">
        <v>33</v>
      </c>
    </row>
    <row r="23" spans="2:7" ht="28.8" x14ac:dyDescent="0.3">
      <c r="B23" s="89" t="s">
        <v>174</v>
      </c>
      <c r="C23" s="89" t="s">
        <v>175</v>
      </c>
      <c r="D23" s="89" t="s">
        <v>33</v>
      </c>
      <c r="E23" s="89" t="s">
        <v>146</v>
      </c>
      <c r="F23" s="89" t="s">
        <v>176</v>
      </c>
      <c r="G23" s="89" t="s">
        <v>147</v>
      </c>
    </row>
    <row r="24" spans="2:7" ht="57.6" x14ac:dyDescent="0.3">
      <c r="B24" s="89" t="s">
        <v>177</v>
      </c>
      <c r="C24" s="89" t="s">
        <v>148</v>
      </c>
      <c r="D24" s="89" t="s">
        <v>33</v>
      </c>
      <c r="E24" s="89" t="s">
        <v>146</v>
      </c>
      <c r="F24" s="89" t="s">
        <v>176</v>
      </c>
      <c r="G24" s="89" t="s">
        <v>33</v>
      </c>
    </row>
    <row r="25" spans="2:7" ht="57.6" x14ac:dyDescent="0.3">
      <c r="B25" s="89" t="s">
        <v>178</v>
      </c>
      <c r="C25" s="89" t="s">
        <v>175</v>
      </c>
      <c r="D25" s="89" t="s">
        <v>148</v>
      </c>
      <c r="E25" s="89" t="s">
        <v>33</v>
      </c>
      <c r="F25" s="89" t="s">
        <v>164</v>
      </c>
      <c r="G25" s="89" t="s">
        <v>33</v>
      </c>
    </row>
    <row r="26" spans="2:7" ht="72" x14ac:dyDescent="0.3">
      <c r="B26" s="89" t="s">
        <v>179</v>
      </c>
      <c r="C26" s="89" t="s">
        <v>148</v>
      </c>
      <c r="D26" s="89" t="s">
        <v>148</v>
      </c>
      <c r="E26" s="89" t="s">
        <v>33</v>
      </c>
      <c r="F26" s="89" t="s">
        <v>146</v>
      </c>
      <c r="G26" s="89" t="s">
        <v>33</v>
      </c>
    </row>
    <row r="27" spans="2:7" ht="57.6" x14ac:dyDescent="0.3">
      <c r="B27" s="89" t="s">
        <v>180</v>
      </c>
      <c r="C27" s="89" t="s">
        <v>181</v>
      </c>
      <c r="D27" s="89" t="s">
        <v>152</v>
      </c>
      <c r="E27" s="89" t="s">
        <v>153</v>
      </c>
      <c r="F27" s="89" t="s">
        <v>182</v>
      </c>
      <c r="G27" s="89" t="s">
        <v>181</v>
      </c>
    </row>
    <row r="28" spans="2:7" ht="28.8" x14ac:dyDescent="0.3">
      <c r="B28" s="89" t="s">
        <v>183</v>
      </c>
      <c r="C28" s="89" t="s">
        <v>146</v>
      </c>
      <c r="D28" s="89" t="s">
        <v>33</v>
      </c>
      <c r="E28" s="89" t="s">
        <v>148</v>
      </c>
      <c r="F28" s="89" t="s">
        <v>175</v>
      </c>
      <c r="G28" s="89" t="s">
        <v>33</v>
      </c>
    </row>
    <row r="29" spans="2:7" ht="28.8" x14ac:dyDescent="0.3">
      <c r="B29" s="89" t="s">
        <v>184</v>
      </c>
      <c r="C29" s="89" t="s">
        <v>80</v>
      </c>
      <c r="D29" s="89" t="s">
        <v>34</v>
      </c>
      <c r="E29" s="89" t="s">
        <v>185</v>
      </c>
      <c r="F29" s="89" t="s">
        <v>186</v>
      </c>
      <c r="G29" s="89" t="s">
        <v>187</v>
      </c>
    </row>
    <row r="30" spans="2:7" ht="28.8" x14ac:dyDescent="0.3">
      <c r="B30" s="89" t="s">
        <v>188</v>
      </c>
      <c r="C30" s="89" t="s">
        <v>189</v>
      </c>
      <c r="D30" s="89" t="s">
        <v>190</v>
      </c>
      <c r="E30" s="89" t="s">
        <v>191</v>
      </c>
      <c r="F30" s="89" t="s">
        <v>192</v>
      </c>
      <c r="G30" s="89" t="s">
        <v>193</v>
      </c>
    </row>
    <row r="31" spans="2:7" x14ac:dyDescent="0.3">
      <c r="B31" s="89" t="s">
        <v>194</v>
      </c>
      <c r="C31" s="89" t="s">
        <v>195</v>
      </c>
      <c r="D31" s="89" t="s">
        <v>196</v>
      </c>
      <c r="E31" s="89" t="s">
        <v>197</v>
      </c>
      <c r="F31" s="89" t="s">
        <v>198</v>
      </c>
      <c r="G31" s="89" t="s">
        <v>199</v>
      </c>
    </row>
    <row r="32" spans="2:7" ht="28.8" x14ac:dyDescent="0.3">
      <c r="B32" s="89" t="s">
        <v>200</v>
      </c>
      <c r="C32" s="89" t="s">
        <v>201</v>
      </c>
      <c r="D32" s="89" t="s">
        <v>202</v>
      </c>
      <c r="E32" s="89" t="s">
        <v>203</v>
      </c>
      <c r="F32" s="89" t="s">
        <v>204</v>
      </c>
      <c r="G32" s="89" t="s">
        <v>205</v>
      </c>
    </row>
    <row r="33" spans="2:7" ht="57.6" x14ac:dyDescent="0.3">
      <c r="B33" s="89" t="s">
        <v>206</v>
      </c>
      <c r="C33" s="89" t="s">
        <v>207</v>
      </c>
      <c r="D33" s="89" t="s">
        <v>208</v>
      </c>
      <c r="E33" s="89" t="s">
        <v>209</v>
      </c>
      <c r="F33" s="89" t="s">
        <v>210</v>
      </c>
      <c r="G33" s="89" t="s">
        <v>211</v>
      </c>
    </row>
    <row r="36" spans="2:7" ht="31.2" x14ac:dyDescent="0.3">
      <c r="B36" s="96" t="s">
        <v>212</v>
      </c>
    </row>
    <row r="38" spans="2:7" ht="23.4" x14ac:dyDescent="0.3">
      <c r="B38" s="97" t="s">
        <v>213</v>
      </c>
    </row>
    <row r="40" spans="2:7" ht="28.8" x14ac:dyDescent="0.3">
      <c r="B40" s="98" t="s">
        <v>214</v>
      </c>
      <c r="C40" s="98" t="s">
        <v>215</v>
      </c>
      <c r="D40" s="98" t="s">
        <v>216</v>
      </c>
      <c r="E40" s="98" t="s">
        <v>217</v>
      </c>
    </row>
    <row r="41" spans="2:7" ht="28.8" x14ac:dyDescent="0.3">
      <c r="B41" s="89" t="s">
        <v>25</v>
      </c>
      <c r="C41" s="89" t="s">
        <v>218</v>
      </c>
      <c r="D41" s="89" t="s">
        <v>219</v>
      </c>
      <c r="E41" s="89" t="s">
        <v>220</v>
      </c>
    </row>
    <row r="42" spans="2:7" ht="28.8" x14ac:dyDescent="0.3">
      <c r="B42" s="89" t="s">
        <v>221</v>
      </c>
      <c r="C42" s="89" t="s">
        <v>222</v>
      </c>
      <c r="D42" s="89" t="s">
        <v>223</v>
      </c>
      <c r="E42" s="89" t="s">
        <v>224</v>
      </c>
    </row>
    <row r="43" spans="2:7" ht="43.2" x14ac:dyDescent="0.3">
      <c r="B43" s="89" t="s">
        <v>61</v>
      </c>
      <c r="C43" s="89" t="s">
        <v>225</v>
      </c>
      <c r="D43" s="89" t="s">
        <v>152</v>
      </c>
      <c r="E43" s="89" t="s">
        <v>226</v>
      </c>
    </row>
    <row r="44" spans="2:7" ht="43.2" x14ac:dyDescent="0.3">
      <c r="B44" s="89" t="s">
        <v>110</v>
      </c>
      <c r="C44" s="89" t="s">
        <v>225</v>
      </c>
      <c r="D44" s="89" t="s">
        <v>153</v>
      </c>
      <c r="E44" s="89" t="s">
        <v>227</v>
      </c>
    </row>
    <row r="45" spans="2:7" ht="43.2" x14ac:dyDescent="0.3">
      <c r="B45" s="89" t="s">
        <v>111</v>
      </c>
      <c r="C45" s="89" t="s">
        <v>228</v>
      </c>
      <c r="D45" s="89" t="s">
        <v>162</v>
      </c>
      <c r="E45" s="89" t="s">
        <v>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53"/>
  <sheetViews>
    <sheetView workbookViewId="0">
      <selection activeCell="J6" sqref="J6"/>
    </sheetView>
  </sheetViews>
  <sheetFormatPr defaultRowHeight="14.4" x14ac:dyDescent="0.3"/>
  <cols>
    <col min="1" max="1" width="3.5546875" customWidth="1"/>
    <col min="2" max="2" width="39.5546875" bestFit="1" customWidth="1"/>
    <col min="3" max="3" width="15.88671875" bestFit="1" customWidth="1"/>
    <col min="4" max="4" width="17.21875" customWidth="1"/>
    <col min="5" max="5" width="27.33203125" customWidth="1"/>
    <col min="6" max="6" width="21.77734375" customWidth="1"/>
    <col min="7" max="7" width="14.6640625" customWidth="1"/>
    <col min="9" max="9" width="26.21875" bestFit="1" customWidth="1"/>
    <col min="10" max="10" width="18.33203125" customWidth="1"/>
  </cols>
  <sheetData>
    <row r="2" spans="2:16" ht="15.6" x14ac:dyDescent="0.3">
      <c r="B2" s="166" t="s">
        <v>230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</row>
    <row r="3" spans="2:16" ht="15" thickBot="1" x14ac:dyDescent="0.35"/>
    <row r="4" spans="2:16" ht="29.4" thickBot="1" x14ac:dyDescent="0.35">
      <c r="B4" s="111" t="s">
        <v>27</v>
      </c>
      <c r="C4" s="112" t="s">
        <v>25</v>
      </c>
      <c r="D4" s="112" t="s">
        <v>61</v>
      </c>
      <c r="E4" s="113" t="s">
        <v>110</v>
      </c>
      <c r="F4" s="112" t="s">
        <v>111</v>
      </c>
      <c r="G4" s="114" t="s">
        <v>106</v>
      </c>
      <c r="I4" s="161" t="s">
        <v>41</v>
      </c>
      <c r="J4" s="162"/>
    </row>
    <row r="5" spans="2:16" ht="13.8" customHeight="1" x14ac:dyDescent="0.3">
      <c r="B5" s="107" t="s">
        <v>231</v>
      </c>
      <c r="C5" s="108" t="s">
        <v>113</v>
      </c>
      <c r="D5" s="108" t="s">
        <v>114</v>
      </c>
      <c r="E5" s="109" t="s">
        <v>232</v>
      </c>
      <c r="F5" s="108" t="s">
        <v>116</v>
      </c>
      <c r="G5" s="110" t="s">
        <v>117</v>
      </c>
      <c r="I5" s="2" t="s">
        <v>39</v>
      </c>
      <c r="J5" s="38">
        <v>40000</v>
      </c>
    </row>
    <row r="6" spans="2:16" ht="15" thickBot="1" x14ac:dyDescent="0.35">
      <c r="B6" s="103" t="s">
        <v>233</v>
      </c>
      <c r="C6" s="99" t="s">
        <v>28</v>
      </c>
      <c r="D6" s="99" t="s">
        <v>28</v>
      </c>
      <c r="E6" s="100" t="s">
        <v>29</v>
      </c>
      <c r="F6" s="99" t="s">
        <v>118</v>
      </c>
      <c r="G6" s="104" t="s">
        <v>28</v>
      </c>
      <c r="I6" s="39" t="s">
        <v>40</v>
      </c>
      <c r="J6" s="40">
        <f>J5*300</f>
        <v>12000000</v>
      </c>
    </row>
    <row r="7" spans="2:16" ht="15" thickBot="1" x14ac:dyDescent="0.35">
      <c r="B7" s="103" t="s">
        <v>119</v>
      </c>
      <c r="C7" s="99" t="s">
        <v>120</v>
      </c>
      <c r="D7" s="99" t="s">
        <v>121</v>
      </c>
      <c r="E7" s="100" t="s">
        <v>122</v>
      </c>
      <c r="F7" s="99" t="s">
        <v>234</v>
      </c>
      <c r="G7" s="104"/>
      <c r="J7" s="37"/>
    </row>
    <row r="8" spans="2:16" ht="28.8" x14ac:dyDescent="0.3">
      <c r="B8" s="103" t="s">
        <v>235</v>
      </c>
      <c r="C8" s="99" t="s">
        <v>31</v>
      </c>
      <c r="D8" s="99" t="s">
        <v>127</v>
      </c>
      <c r="E8" s="100" t="s">
        <v>236</v>
      </c>
      <c r="F8" s="99" t="s">
        <v>237</v>
      </c>
      <c r="G8" s="104" t="s">
        <v>238</v>
      </c>
      <c r="I8" s="163" t="s">
        <v>47</v>
      </c>
      <c r="J8" s="164"/>
    </row>
    <row r="9" spans="2:16" ht="15.6" customHeight="1" x14ac:dyDescent="0.3">
      <c r="B9" s="103" t="s">
        <v>239</v>
      </c>
      <c r="C9" s="99" t="s">
        <v>129</v>
      </c>
      <c r="D9" s="99" t="s">
        <v>130</v>
      </c>
      <c r="E9" s="100" t="s">
        <v>131</v>
      </c>
      <c r="F9" s="99" t="s">
        <v>132</v>
      </c>
      <c r="G9" s="104" t="s">
        <v>133</v>
      </c>
      <c r="I9" s="2" t="s">
        <v>42</v>
      </c>
      <c r="J9" s="38" t="s">
        <v>43</v>
      </c>
    </row>
    <row r="10" spans="2:16" ht="17.399999999999999" customHeight="1" x14ac:dyDescent="0.3">
      <c r="B10" s="103" t="s">
        <v>240</v>
      </c>
      <c r="C10" s="99" t="s">
        <v>241</v>
      </c>
      <c r="D10" s="99">
        <v>3</v>
      </c>
      <c r="E10" s="100" t="s">
        <v>242</v>
      </c>
      <c r="F10" s="99">
        <v>2</v>
      </c>
      <c r="G10" s="104" t="s">
        <v>243</v>
      </c>
      <c r="I10" s="2" t="s">
        <v>45</v>
      </c>
      <c r="J10" s="38" t="s">
        <v>44</v>
      </c>
    </row>
    <row r="11" spans="2:16" ht="14.4" customHeight="1" thickBot="1" x14ac:dyDescent="0.35">
      <c r="B11" s="103" t="s">
        <v>244</v>
      </c>
      <c r="C11" s="99" t="s">
        <v>156</v>
      </c>
      <c r="D11" s="99" t="s">
        <v>157</v>
      </c>
      <c r="E11" s="100" t="s">
        <v>158</v>
      </c>
      <c r="F11" s="99" t="s">
        <v>245</v>
      </c>
      <c r="G11" s="104" t="s">
        <v>159</v>
      </c>
      <c r="I11" s="41" t="s">
        <v>46</v>
      </c>
      <c r="J11" s="42">
        <v>0.14000000000000001</v>
      </c>
    </row>
    <row r="12" spans="2:16" ht="15" thickBot="1" x14ac:dyDescent="0.35">
      <c r="B12" s="103" t="s">
        <v>246</v>
      </c>
      <c r="C12" s="99" t="s">
        <v>247</v>
      </c>
      <c r="D12" s="99" t="s">
        <v>247</v>
      </c>
      <c r="E12" s="100" t="s">
        <v>247</v>
      </c>
      <c r="F12" s="99" t="s">
        <v>247</v>
      </c>
      <c r="G12" s="104" t="s">
        <v>247</v>
      </c>
      <c r="J12" s="37"/>
    </row>
    <row r="13" spans="2:16" ht="28.8" x14ac:dyDescent="0.3">
      <c r="B13" s="103" t="s">
        <v>248</v>
      </c>
      <c r="C13" s="99" t="s">
        <v>249</v>
      </c>
      <c r="D13" s="99" t="s">
        <v>250</v>
      </c>
      <c r="E13" s="100" t="s">
        <v>251</v>
      </c>
      <c r="F13" s="99" t="s">
        <v>290</v>
      </c>
      <c r="G13" s="104" t="s">
        <v>252</v>
      </c>
      <c r="I13" s="163" t="s">
        <v>48</v>
      </c>
      <c r="J13" s="164"/>
    </row>
    <row r="14" spans="2:16" ht="18.600000000000001" customHeight="1" x14ac:dyDescent="0.3">
      <c r="B14" s="103" t="s">
        <v>253</v>
      </c>
      <c r="C14" s="99" t="s">
        <v>254</v>
      </c>
      <c r="D14" s="99" t="s">
        <v>254</v>
      </c>
      <c r="E14" s="100" t="s">
        <v>255</v>
      </c>
      <c r="F14" s="99" t="s">
        <v>256</v>
      </c>
      <c r="G14" s="104" t="s">
        <v>254</v>
      </c>
      <c r="I14" s="2" t="s">
        <v>49</v>
      </c>
      <c r="J14" s="38" t="s">
        <v>50</v>
      </c>
    </row>
    <row r="15" spans="2:16" x14ac:dyDescent="0.3">
      <c r="B15" s="103" t="s">
        <v>145</v>
      </c>
      <c r="C15" s="99" t="s">
        <v>146</v>
      </c>
      <c r="D15" s="99" t="s">
        <v>147</v>
      </c>
      <c r="E15" s="100" t="s">
        <v>148</v>
      </c>
      <c r="F15" s="99" t="s">
        <v>175</v>
      </c>
      <c r="G15" s="104" t="s">
        <v>33</v>
      </c>
      <c r="I15" s="2" t="s">
        <v>51</v>
      </c>
      <c r="J15" s="38" t="s">
        <v>52</v>
      </c>
    </row>
    <row r="16" spans="2:16" ht="18" customHeight="1" thickBot="1" x14ac:dyDescent="0.35">
      <c r="B16" s="103" t="s">
        <v>257</v>
      </c>
      <c r="C16" s="99" t="s">
        <v>80</v>
      </c>
      <c r="D16" s="99" t="s">
        <v>34</v>
      </c>
      <c r="E16" s="100" t="s">
        <v>185</v>
      </c>
      <c r="F16" s="99" t="s">
        <v>258</v>
      </c>
      <c r="G16" s="104" t="s">
        <v>187</v>
      </c>
      <c r="I16" s="41" t="s">
        <v>53</v>
      </c>
      <c r="J16" s="42">
        <v>0.06</v>
      </c>
    </row>
    <row r="17" spans="2:10" ht="15" thickBot="1" x14ac:dyDescent="0.35">
      <c r="B17" s="103" t="s">
        <v>103</v>
      </c>
      <c r="C17" s="99" t="s">
        <v>135</v>
      </c>
      <c r="D17" s="99" t="s">
        <v>137</v>
      </c>
      <c r="E17" s="100" t="s">
        <v>137</v>
      </c>
      <c r="F17" s="99" t="s">
        <v>259</v>
      </c>
      <c r="G17" s="104" t="s">
        <v>137</v>
      </c>
      <c r="J17" s="37"/>
    </row>
    <row r="18" spans="2:10" ht="15" thickBot="1" x14ac:dyDescent="0.35">
      <c r="B18" s="103" t="s">
        <v>260</v>
      </c>
      <c r="C18" s="99" t="s">
        <v>181</v>
      </c>
      <c r="D18" s="99" t="s">
        <v>152</v>
      </c>
      <c r="E18" s="100" t="s">
        <v>153</v>
      </c>
      <c r="F18" s="99" t="s">
        <v>182</v>
      </c>
      <c r="G18" s="104" t="s">
        <v>152</v>
      </c>
      <c r="I18" s="43" t="s">
        <v>54</v>
      </c>
      <c r="J18" s="44">
        <v>0.2</v>
      </c>
    </row>
    <row r="19" spans="2:10" x14ac:dyDescent="0.3">
      <c r="B19" s="103" t="s">
        <v>168</v>
      </c>
      <c r="C19" s="99" t="s">
        <v>261</v>
      </c>
      <c r="D19" s="99" t="s">
        <v>261</v>
      </c>
      <c r="E19" s="100" t="s">
        <v>262</v>
      </c>
      <c r="F19" s="99" t="s">
        <v>262</v>
      </c>
      <c r="G19" s="104" t="s">
        <v>261</v>
      </c>
    </row>
    <row r="20" spans="2:10" x14ac:dyDescent="0.3">
      <c r="B20" s="103" t="s">
        <v>263</v>
      </c>
      <c r="C20" s="99" t="s">
        <v>264</v>
      </c>
      <c r="D20" s="99" t="s">
        <v>265</v>
      </c>
      <c r="E20" s="100" t="s">
        <v>266</v>
      </c>
      <c r="F20" s="99" t="s">
        <v>267</v>
      </c>
      <c r="G20" s="104" t="s">
        <v>265</v>
      </c>
    </row>
    <row r="21" spans="2:10" x14ac:dyDescent="0.3">
      <c r="B21" s="103" t="s">
        <v>268</v>
      </c>
      <c r="C21" s="99" t="s">
        <v>269</v>
      </c>
      <c r="D21" s="99" t="s">
        <v>270</v>
      </c>
      <c r="E21" s="100" t="s">
        <v>271</v>
      </c>
      <c r="F21" s="99" t="s">
        <v>272</v>
      </c>
      <c r="G21" s="104" t="s">
        <v>270</v>
      </c>
    </row>
    <row r="22" spans="2:10" x14ac:dyDescent="0.3">
      <c r="B22" s="103" t="s">
        <v>273</v>
      </c>
      <c r="C22" s="99" t="s">
        <v>151</v>
      </c>
      <c r="D22" s="99" t="s">
        <v>152</v>
      </c>
      <c r="E22" s="100" t="s">
        <v>153</v>
      </c>
      <c r="F22" s="99" t="s">
        <v>162</v>
      </c>
      <c r="G22" s="104" t="s">
        <v>33</v>
      </c>
      <c r="I22" s="137"/>
    </row>
    <row r="23" spans="2:10" x14ac:dyDescent="0.3">
      <c r="B23" s="103" t="s">
        <v>274</v>
      </c>
      <c r="C23" s="99" t="s">
        <v>141</v>
      </c>
      <c r="D23" s="99" t="s">
        <v>247</v>
      </c>
      <c r="E23" s="100" t="s">
        <v>247</v>
      </c>
      <c r="F23" s="99" t="s">
        <v>247</v>
      </c>
      <c r="G23" s="104" t="s">
        <v>247</v>
      </c>
      <c r="I23" s="137"/>
    </row>
    <row r="24" spans="2:10" x14ac:dyDescent="0.3">
      <c r="B24" s="103" t="s">
        <v>275</v>
      </c>
      <c r="C24" s="99" t="s">
        <v>33</v>
      </c>
      <c r="D24" s="99" t="s">
        <v>152</v>
      </c>
      <c r="E24" s="100" t="s">
        <v>162</v>
      </c>
      <c r="F24" s="99" t="s">
        <v>162</v>
      </c>
      <c r="G24" s="104" t="s">
        <v>152</v>
      </c>
      <c r="I24" s="137"/>
    </row>
    <row r="25" spans="2:10" x14ac:dyDescent="0.3">
      <c r="B25" s="103" t="s">
        <v>276</v>
      </c>
      <c r="C25" s="99" t="s">
        <v>161</v>
      </c>
      <c r="D25" s="99" t="s">
        <v>33</v>
      </c>
      <c r="E25" s="100" t="s">
        <v>148</v>
      </c>
      <c r="F25" s="99" t="s">
        <v>175</v>
      </c>
      <c r="G25" s="104" t="s">
        <v>33</v>
      </c>
      <c r="I25" s="137"/>
    </row>
    <row r="26" spans="2:10" x14ac:dyDescent="0.3">
      <c r="B26" s="103" t="s">
        <v>277</v>
      </c>
      <c r="C26" s="99" t="s">
        <v>161</v>
      </c>
      <c r="D26" s="99" t="s">
        <v>152</v>
      </c>
      <c r="E26" s="100" t="s">
        <v>153</v>
      </c>
      <c r="F26" s="99" t="s">
        <v>162</v>
      </c>
      <c r="G26" s="104" t="s">
        <v>33</v>
      </c>
      <c r="I26" s="137"/>
    </row>
    <row r="27" spans="2:10" x14ac:dyDescent="0.3">
      <c r="B27" s="103" t="s">
        <v>278</v>
      </c>
      <c r="C27" s="99" t="s">
        <v>146</v>
      </c>
      <c r="D27" s="99" t="s">
        <v>33</v>
      </c>
      <c r="E27" s="100" t="s">
        <v>148</v>
      </c>
      <c r="F27" s="99" t="s">
        <v>175</v>
      </c>
      <c r="G27" s="104" t="s">
        <v>33</v>
      </c>
      <c r="I27" s="137"/>
    </row>
    <row r="28" spans="2:10" x14ac:dyDescent="0.3">
      <c r="B28" s="103" t="s">
        <v>140</v>
      </c>
      <c r="C28" s="99" t="s">
        <v>141</v>
      </c>
      <c r="D28" s="99" t="s">
        <v>142</v>
      </c>
      <c r="E28" s="100" t="s">
        <v>142</v>
      </c>
      <c r="F28" s="99" t="s">
        <v>279</v>
      </c>
      <c r="G28" s="104" t="s">
        <v>144</v>
      </c>
      <c r="I28" s="137"/>
    </row>
    <row r="29" spans="2:10" x14ac:dyDescent="0.3">
      <c r="B29" s="103" t="s">
        <v>174</v>
      </c>
      <c r="C29" s="99" t="s">
        <v>175</v>
      </c>
      <c r="D29" s="99" t="s">
        <v>33</v>
      </c>
      <c r="E29" s="100" t="s">
        <v>146</v>
      </c>
      <c r="F29" s="99" t="s">
        <v>176</v>
      </c>
      <c r="G29" s="104" t="s">
        <v>147</v>
      </c>
      <c r="I29" s="137"/>
    </row>
    <row r="30" spans="2:10" x14ac:dyDescent="0.3">
      <c r="B30" s="103" t="s">
        <v>280</v>
      </c>
      <c r="C30" s="99" t="s">
        <v>175</v>
      </c>
      <c r="D30" s="99" t="s">
        <v>148</v>
      </c>
      <c r="E30" s="100" t="s">
        <v>33</v>
      </c>
      <c r="F30" s="99" t="s">
        <v>164</v>
      </c>
      <c r="G30" s="104" t="s">
        <v>33</v>
      </c>
      <c r="I30" s="137"/>
    </row>
    <row r="31" spans="2:10" x14ac:dyDescent="0.3">
      <c r="B31" s="103" t="s">
        <v>179</v>
      </c>
      <c r="C31" s="99" t="s">
        <v>148</v>
      </c>
      <c r="D31" s="99" t="s">
        <v>148</v>
      </c>
      <c r="E31" s="100" t="s">
        <v>33</v>
      </c>
      <c r="F31" s="99" t="s">
        <v>146</v>
      </c>
      <c r="G31" s="104" t="s">
        <v>33</v>
      </c>
      <c r="I31" s="137"/>
    </row>
    <row r="32" spans="2:10" x14ac:dyDescent="0.3">
      <c r="B32" s="103" t="s">
        <v>281</v>
      </c>
      <c r="C32" s="99" t="s">
        <v>181</v>
      </c>
      <c r="D32" s="99" t="s">
        <v>152</v>
      </c>
      <c r="E32" s="100" t="s">
        <v>153</v>
      </c>
      <c r="F32" s="99" t="s">
        <v>182</v>
      </c>
      <c r="G32" s="104" t="s">
        <v>181</v>
      </c>
      <c r="I32" s="137"/>
    </row>
    <row r="33" spans="2:9" ht="43.2" x14ac:dyDescent="0.3">
      <c r="B33" s="103" t="s">
        <v>291</v>
      </c>
      <c r="C33" s="99" t="s">
        <v>292</v>
      </c>
      <c r="D33" s="99" t="s">
        <v>293</v>
      </c>
      <c r="E33" s="100" t="s">
        <v>294</v>
      </c>
      <c r="F33" s="99" t="s">
        <v>295</v>
      </c>
      <c r="G33" s="104" t="s">
        <v>292</v>
      </c>
      <c r="I33" s="137"/>
    </row>
    <row r="34" spans="2:9" ht="28.8" x14ac:dyDescent="0.3">
      <c r="B34" s="103" t="s">
        <v>296</v>
      </c>
      <c r="C34" s="99" t="s">
        <v>297</v>
      </c>
      <c r="D34" s="99" t="s">
        <v>298</v>
      </c>
      <c r="E34" s="100" t="s">
        <v>299</v>
      </c>
      <c r="F34" s="99" t="s">
        <v>300</v>
      </c>
      <c r="G34" s="104" t="s">
        <v>297</v>
      </c>
    </row>
    <row r="35" spans="2:9" x14ac:dyDescent="0.3">
      <c r="B35" s="103" t="s">
        <v>282</v>
      </c>
      <c r="C35" s="99" t="s">
        <v>189</v>
      </c>
      <c r="D35" s="99" t="s">
        <v>190</v>
      </c>
      <c r="E35" s="100" t="s">
        <v>191</v>
      </c>
      <c r="F35" s="99" t="s">
        <v>192</v>
      </c>
      <c r="G35" s="104" t="s">
        <v>193</v>
      </c>
    </row>
    <row r="36" spans="2:9" x14ac:dyDescent="0.3">
      <c r="B36" s="103" t="s">
        <v>194</v>
      </c>
      <c r="C36" s="99" t="s">
        <v>195</v>
      </c>
      <c r="D36" s="99" t="s">
        <v>196</v>
      </c>
      <c r="E36" s="100" t="s">
        <v>197</v>
      </c>
      <c r="F36" s="99" t="s">
        <v>198</v>
      </c>
      <c r="G36" s="104" t="s">
        <v>199</v>
      </c>
    </row>
    <row r="37" spans="2:9" x14ac:dyDescent="0.3">
      <c r="B37" s="103" t="s">
        <v>283</v>
      </c>
      <c r="C37" s="121">
        <v>432000</v>
      </c>
      <c r="D37" s="121">
        <v>501000</v>
      </c>
      <c r="E37" s="122">
        <v>519000</v>
      </c>
      <c r="F37" s="121">
        <v>1036000</v>
      </c>
      <c r="G37" s="121">
        <v>576000</v>
      </c>
    </row>
    <row r="38" spans="2:9" x14ac:dyDescent="0.3">
      <c r="B38" s="103" t="s">
        <v>301</v>
      </c>
      <c r="C38" s="123">
        <v>105000</v>
      </c>
      <c r="D38" s="121">
        <v>55000</v>
      </c>
      <c r="E38" s="124">
        <v>38000</v>
      </c>
      <c r="F38" s="123">
        <v>28000</v>
      </c>
      <c r="G38" s="125">
        <v>65000</v>
      </c>
    </row>
    <row r="39" spans="2:9" ht="15" thickBot="1" x14ac:dyDescent="0.35">
      <c r="B39" s="105" t="s">
        <v>284</v>
      </c>
      <c r="C39" s="101" t="s">
        <v>285</v>
      </c>
      <c r="D39" s="101" t="s">
        <v>152</v>
      </c>
      <c r="E39" s="102" t="s">
        <v>162</v>
      </c>
      <c r="F39" s="101" t="s">
        <v>286</v>
      </c>
      <c r="G39" s="106" t="s">
        <v>33</v>
      </c>
    </row>
    <row r="40" spans="2:9" ht="15" thickBot="1" x14ac:dyDescent="0.35">
      <c r="B40" s="115" t="s">
        <v>287</v>
      </c>
      <c r="C40" s="118" t="s">
        <v>156</v>
      </c>
      <c r="D40" s="119" t="s">
        <v>157</v>
      </c>
      <c r="E40" s="117" t="s">
        <v>288</v>
      </c>
      <c r="F40" s="116" t="s">
        <v>289</v>
      </c>
      <c r="G40" s="120" t="s">
        <v>159</v>
      </c>
    </row>
    <row r="41" spans="2:9" ht="15" thickBot="1" x14ac:dyDescent="0.35"/>
    <row r="42" spans="2:9" ht="63.6" customHeight="1" thickBot="1" x14ac:dyDescent="0.35">
      <c r="B42" s="134" t="s">
        <v>59</v>
      </c>
      <c r="C42" s="88"/>
      <c r="D42" s="88"/>
      <c r="E42" s="88"/>
      <c r="F42" s="135" t="s">
        <v>304</v>
      </c>
      <c r="G42" s="136">
        <v>0.52</v>
      </c>
    </row>
    <row r="43" spans="2:9" x14ac:dyDescent="0.3">
      <c r="B43" s="133" t="s">
        <v>56</v>
      </c>
      <c r="C43" s="126">
        <f>$J$6*$J$18</f>
        <v>2400000</v>
      </c>
      <c r="D43" s="126">
        <f>$J$6*$J$18</f>
        <v>2400000</v>
      </c>
      <c r="E43" s="126">
        <f>$J$6*$J$18</f>
        <v>2400000</v>
      </c>
      <c r="F43" s="126">
        <f>$J$6*$J$18</f>
        <v>2400000</v>
      </c>
      <c r="G43" s="126">
        <f>$J$6*$J$18</f>
        <v>2400000</v>
      </c>
    </row>
    <row r="44" spans="2:9" x14ac:dyDescent="0.3">
      <c r="B44" s="91" t="s">
        <v>302</v>
      </c>
      <c r="C44" s="45">
        <f>C37</f>
        <v>432000</v>
      </c>
      <c r="D44" s="45">
        <f t="shared" ref="D44:G44" si="0">D37</f>
        <v>501000</v>
      </c>
      <c r="E44" s="45">
        <f t="shared" si="0"/>
        <v>519000</v>
      </c>
      <c r="F44" s="45">
        <f t="shared" si="0"/>
        <v>1036000</v>
      </c>
      <c r="G44" s="45">
        <f t="shared" si="0"/>
        <v>576000</v>
      </c>
    </row>
    <row r="45" spans="2:9" x14ac:dyDescent="0.3">
      <c r="B45" s="91" t="s">
        <v>303</v>
      </c>
      <c r="C45" s="45">
        <f>C38</f>
        <v>105000</v>
      </c>
      <c r="D45" s="45">
        <f t="shared" ref="D45:G45" si="1">D38</f>
        <v>55000</v>
      </c>
      <c r="E45" s="45">
        <f t="shared" si="1"/>
        <v>38000</v>
      </c>
      <c r="F45" s="45">
        <f t="shared" si="1"/>
        <v>28000</v>
      </c>
      <c r="G45" s="45">
        <f t="shared" si="1"/>
        <v>65000</v>
      </c>
    </row>
    <row r="46" spans="2:9" x14ac:dyDescent="0.3">
      <c r="B46" s="127" t="s">
        <v>12</v>
      </c>
      <c r="C46" s="46">
        <f>SUM(C43:C45)</f>
        <v>2937000</v>
      </c>
      <c r="D46" s="46">
        <f t="shared" ref="D46:G46" si="2">SUM(D43:D45)</f>
        <v>2956000</v>
      </c>
      <c r="E46" s="46">
        <f t="shared" si="2"/>
        <v>2957000</v>
      </c>
      <c r="F46" s="46">
        <f t="shared" si="2"/>
        <v>3464000</v>
      </c>
      <c r="G46" s="46">
        <f t="shared" si="2"/>
        <v>3041000</v>
      </c>
    </row>
    <row r="47" spans="2:9" x14ac:dyDescent="0.3">
      <c r="B47" s="91" t="s">
        <v>57</v>
      </c>
      <c r="C47" s="45">
        <f>C46*15%</f>
        <v>440550</v>
      </c>
      <c r="D47" s="45">
        <f t="shared" ref="D47:G47" si="3">D46*15%</f>
        <v>443400</v>
      </c>
      <c r="E47" s="45">
        <f t="shared" si="3"/>
        <v>443550</v>
      </c>
      <c r="F47" s="45">
        <f t="shared" si="3"/>
        <v>519600</v>
      </c>
      <c r="G47" s="45">
        <f t="shared" si="3"/>
        <v>456150</v>
      </c>
    </row>
    <row r="48" spans="2:9" x14ac:dyDescent="0.3">
      <c r="B48" s="127" t="s">
        <v>14</v>
      </c>
      <c r="C48" s="46">
        <f>SUM(C46:C47)</f>
        <v>3377550</v>
      </c>
      <c r="D48" s="46">
        <f t="shared" ref="D48:G48" si="4">SUM(D46:D47)</f>
        <v>3399400</v>
      </c>
      <c r="E48" s="46">
        <f t="shared" si="4"/>
        <v>3400550</v>
      </c>
      <c r="F48" s="46">
        <f t="shared" si="4"/>
        <v>3983600</v>
      </c>
      <c r="G48" s="46">
        <f t="shared" si="4"/>
        <v>3497150</v>
      </c>
    </row>
    <row r="49" spans="2:7" ht="21" x14ac:dyDescent="0.4">
      <c r="B49" s="128" t="s">
        <v>58</v>
      </c>
      <c r="C49" s="129">
        <f>C48/$J$6</f>
        <v>0.2814625</v>
      </c>
      <c r="D49" s="129">
        <f t="shared" ref="D49:G49" si="5">D48/$J$6</f>
        <v>0.28328333333333333</v>
      </c>
      <c r="E49" s="129">
        <f t="shared" si="5"/>
        <v>0.28337916666666668</v>
      </c>
      <c r="F49" s="129">
        <f t="shared" si="5"/>
        <v>0.33196666666666669</v>
      </c>
      <c r="G49" s="129">
        <f t="shared" si="5"/>
        <v>0.29142916666666668</v>
      </c>
    </row>
    <row r="50" spans="2:7" ht="21" x14ac:dyDescent="0.4">
      <c r="B50" s="130" t="s">
        <v>60</v>
      </c>
      <c r="C50" s="131">
        <f>$G$42-C49</f>
        <v>0.23853750000000001</v>
      </c>
      <c r="D50" s="131">
        <f t="shared" ref="D50:G50" si="6">$G$42-D49</f>
        <v>0.23671666666666669</v>
      </c>
      <c r="E50" s="131">
        <f t="shared" si="6"/>
        <v>0.23662083333333334</v>
      </c>
      <c r="F50" s="131">
        <f t="shared" si="6"/>
        <v>0.18803333333333333</v>
      </c>
      <c r="G50" s="131">
        <f t="shared" si="6"/>
        <v>0.22857083333333333</v>
      </c>
    </row>
    <row r="51" spans="2:7" ht="21" x14ac:dyDescent="0.3">
      <c r="B51" s="132" t="s">
        <v>24</v>
      </c>
      <c r="C51" s="132">
        <f>($J$6/12)*C50</f>
        <v>238537.5</v>
      </c>
      <c r="D51" s="132">
        <f t="shared" ref="D51:G51" si="7">($J$6/12)*D50</f>
        <v>236716.66666666669</v>
      </c>
      <c r="E51" s="132">
        <f t="shared" si="7"/>
        <v>236620.83333333334</v>
      </c>
      <c r="F51" s="132">
        <f t="shared" si="7"/>
        <v>188033.33333333334</v>
      </c>
      <c r="G51" s="132">
        <f t="shared" si="7"/>
        <v>228570.83333333334</v>
      </c>
    </row>
    <row r="53" spans="2:7" x14ac:dyDescent="0.3">
      <c r="B53" t="s">
        <v>322</v>
      </c>
    </row>
  </sheetData>
  <mergeCells count="4">
    <mergeCell ref="B2:P2"/>
    <mergeCell ref="I4:J4"/>
    <mergeCell ref="I8:J8"/>
    <mergeCell ref="I13:J1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9"/>
  <sheetViews>
    <sheetView workbookViewId="0">
      <selection activeCell="E19" sqref="E19"/>
    </sheetView>
  </sheetViews>
  <sheetFormatPr defaultRowHeight="14.4" x14ac:dyDescent="0.3"/>
  <cols>
    <col min="3" max="3" width="12.77734375" bestFit="1" customWidth="1"/>
    <col min="4" max="4" width="12.109375" bestFit="1" customWidth="1"/>
    <col min="5" max="5" width="11" bestFit="1" customWidth="1"/>
    <col min="6" max="6" width="10.21875" bestFit="1" customWidth="1"/>
    <col min="7" max="7" width="11" bestFit="1" customWidth="1"/>
    <col min="8" max="8" width="11" customWidth="1"/>
    <col min="9" max="9" width="9.88671875" bestFit="1" customWidth="1"/>
    <col min="11" max="11" width="13.6640625" style="37" hidden="1" customWidth="1"/>
    <col min="13" max="13" width="13.21875" style="37" customWidth="1"/>
    <col min="14" max="14" width="13.109375" bestFit="1" customWidth="1"/>
    <col min="15" max="15" width="18.6640625" customWidth="1"/>
  </cols>
  <sheetData>
    <row r="1" spans="2:15" ht="15" thickBot="1" x14ac:dyDescent="0.35">
      <c r="B1" s="169" t="s">
        <v>317</v>
      </c>
      <c r="C1" s="174" t="s">
        <v>330</v>
      </c>
      <c r="D1" s="175"/>
      <c r="E1" s="175"/>
      <c r="F1" s="175"/>
      <c r="G1" s="175"/>
      <c r="H1" s="176"/>
      <c r="I1" s="172" t="s">
        <v>329</v>
      </c>
      <c r="J1" s="173"/>
      <c r="K1" s="173"/>
      <c r="L1" s="173"/>
      <c r="M1" s="173"/>
      <c r="N1" s="173"/>
      <c r="O1" s="167" t="s">
        <v>328</v>
      </c>
    </row>
    <row r="2" spans="2:15" x14ac:dyDescent="0.3">
      <c r="B2" s="170"/>
      <c r="C2" s="152" t="s">
        <v>318</v>
      </c>
      <c r="D2" s="152" t="s">
        <v>319</v>
      </c>
      <c r="E2" s="152" t="s">
        <v>320</v>
      </c>
      <c r="F2" s="152" t="s">
        <v>323</v>
      </c>
      <c r="G2" s="152" t="s">
        <v>321</v>
      </c>
      <c r="H2" s="152" t="s">
        <v>327</v>
      </c>
      <c r="I2" s="150" t="s">
        <v>326</v>
      </c>
      <c r="J2" s="150" t="s">
        <v>325</v>
      </c>
      <c r="K2" s="151" t="s">
        <v>332</v>
      </c>
      <c r="L2" s="150" t="s">
        <v>324</v>
      </c>
      <c r="M2" s="151" t="s">
        <v>321</v>
      </c>
      <c r="N2" s="153" t="s">
        <v>327</v>
      </c>
      <c r="O2" s="168"/>
    </row>
    <row r="3" spans="2:15" x14ac:dyDescent="0.3">
      <c r="B3" s="141" t="s">
        <v>305</v>
      </c>
      <c r="C3" s="145">
        <v>160000</v>
      </c>
      <c r="D3" s="146">
        <v>2000</v>
      </c>
      <c r="E3" s="146">
        <f>I3*J3*0.2</f>
        <v>78000</v>
      </c>
      <c r="F3" s="147">
        <f>SUM(C3:E3)*15%</f>
        <v>36000</v>
      </c>
      <c r="G3" s="148">
        <f>SUM(C3:F3)</f>
        <v>276000</v>
      </c>
      <c r="H3" s="148">
        <f>SUM(C3:F3)</f>
        <v>276000</v>
      </c>
      <c r="I3" s="143">
        <v>15000</v>
      </c>
      <c r="J3" s="143">
        <v>26</v>
      </c>
      <c r="K3" s="142">
        <f>I3*J3</f>
        <v>390000</v>
      </c>
      <c r="L3" s="143">
        <v>0.52</v>
      </c>
      <c r="M3" s="149">
        <f>I3*J3*L3</f>
        <v>202800</v>
      </c>
      <c r="N3" s="157">
        <f>I3*J3*L3</f>
        <v>202800</v>
      </c>
      <c r="O3" s="156">
        <f>N3-H3</f>
        <v>-73200</v>
      </c>
    </row>
    <row r="4" spans="2:15" x14ac:dyDescent="0.3">
      <c r="B4" s="141" t="s">
        <v>306</v>
      </c>
      <c r="C4" s="145">
        <v>0</v>
      </c>
      <c r="D4" s="146">
        <v>2000</v>
      </c>
      <c r="E4" s="146">
        <f t="shared" ref="E4:E14" si="0">I4*J4*0.2</f>
        <v>104000</v>
      </c>
      <c r="F4" s="147">
        <f t="shared" ref="F4:F14" si="1">SUM(C4:E4)*15%</f>
        <v>15900</v>
      </c>
      <c r="G4" s="148">
        <f t="shared" ref="G4:G14" si="2">SUM(C4:F4)</f>
        <v>121900</v>
      </c>
      <c r="H4" s="148">
        <f>G4+H3</f>
        <v>397900</v>
      </c>
      <c r="I4" s="143">
        <v>20000</v>
      </c>
      <c r="J4" s="143">
        <v>26</v>
      </c>
      <c r="K4" s="142">
        <f t="shared" ref="K4:K14" si="3">I4*J4</f>
        <v>520000</v>
      </c>
      <c r="L4" s="143">
        <v>0.52</v>
      </c>
      <c r="M4" s="149">
        <f t="shared" ref="M4:M14" si="4">I4*J4*L4</f>
        <v>270400</v>
      </c>
      <c r="N4" s="158">
        <f>M4+N3</f>
        <v>473200</v>
      </c>
      <c r="O4" s="156">
        <f t="shared" ref="O4:O14" si="5">N4-H4</f>
        <v>75300</v>
      </c>
    </row>
    <row r="5" spans="2:15" x14ac:dyDescent="0.3">
      <c r="B5" s="141" t="s">
        <v>307</v>
      </c>
      <c r="C5" s="145">
        <v>0</v>
      </c>
      <c r="D5" s="146">
        <v>2000</v>
      </c>
      <c r="E5" s="146">
        <f t="shared" si="0"/>
        <v>130000</v>
      </c>
      <c r="F5" s="147">
        <f t="shared" si="1"/>
        <v>19800</v>
      </c>
      <c r="G5" s="148">
        <f t="shared" si="2"/>
        <v>151800</v>
      </c>
      <c r="H5" s="148">
        <f t="shared" ref="H5:H14" si="6">G5+H4</f>
        <v>549700</v>
      </c>
      <c r="I5" s="143">
        <v>25000</v>
      </c>
      <c r="J5" s="143">
        <v>26</v>
      </c>
      <c r="K5" s="142">
        <f t="shared" si="3"/>
        <v>650000</v>
      </c>
      <c r="L5" s="143">
        <v>0.52</v>
      </c>
      <c r="M5" s="149">
        <f t="shared" si="4"/>
        <v>338000</v>
      </c>
      <c r="N5" s="158">
        <f t="shared" ref="N5:N14" si="7">M5+N4</f>
        <v>811200</v>
      </c>
      <c r="O5" s="156">
        <f t="shared" si="5"/>
        <v>261500</v>
      </c>
    </row>
    <row r="6" spans="2:15" x14ac:dyDescent="0.3">
      <c r="B6" s="141" t="s">
        <v>308</v>
      </c>
      <c r="C6" s="145">
        <v>0</v>
      </c>
      <c r="D6" s="146">
        <v>2000</v>
      </c>
      <c r="E6" s="146">
        <f t="shared" si="0"/>
        <v>156000</v>
      </c>
      <c r="F6" s="147">
        <f t="shared" si="1"/>
        <v>23700</v>
      </c>
      <c r="G6" s="148">
        <f t="shared" si="2"/>
        <v>181700</v>
      </c>
      <c r="H6" s="148">
        <f t="shared" si="6"/>
        <v>731400</v>
      </c>
      <c r="I6" s="143">
        <v>30000</v>
      </c>
      <c r="J6" s="143">
        <v>26</v>
      </c>
      <c r="K6" s="142">
        <f t="shared" si="3"/>
        <v>780000</v>
      </c>
      <c r="L6" s="143">
        <v>0.52</v>
      </c>
      <c r="M6" s="149">
        <f t="shared" si="4"/>
        <v>405600</v>
      </c>
      <c r="N6" s="158">
        <f t="shared" si="7"/>
        <v>1216800</v>
      </c>
      <c r="O6" s="156">
        <f t="shared" si="5"/>
        <v>485400</v>
      </c>
    </row>
    <row r="7" spans="2:15" x14ac:dyDescent="0.3">
      <c r="B7" s="141" t="s">
        <v>309</v>
      </c>
      <c r="C7" s="145">
        <v>160000</v>
      </c>
      <c r="D7" s="146">
        <v>4000</v>
      </c>
      <c r="E7" s="146">
        <f t="shared" si="0"/>
        <v>182000</v>
      </c>
      <c r="F7" s="147">
        <f t="shared" si="1"/>
        <v>51900</v>
      </c>
      <c r="G7" s="148">
        <f t="shared" si="2"/>
        <v>397900</v>
      </c>
      <c r="H7" s="148">
        <f t="shared" si="6"/>
        <v>1129300</v>
      </c>
      <c r="I7" s="143">
        <v>35000</v>
      </c>
      <c r="J7" s="143">
        <v>26</v>
      </c>
      <c r="K7" s="142">
        <f t="shared" si="3"/>
        <v>910000</v>
      </c>
      <c r="L7" s="143">
        <v>0.5</v>
      </c>
      <c r="M7" s="149">
        <f t="shared" si="4"/>
        <v>455000</v>
      </c>
      <c r="N7" s="158">
        <f t="shared" si="7"/>
        <v>1671800</v>
      </c>
      <c r="O7" s="156">
        <f t="shared" si="5"/>
        <v>542500</v>
      </c>
    </row>
    <row r="8" spans="2:15" x14ac:dyDescent="0.3">
      <c r="B8" s="141" t="s">
        <v>310</v>
      </c>
      <c r="C8" s="145">
        <v>0</v>
      </c>
      <c r="D8" s="146">
        <v>4000</v>
      </c>
      <c r="E8" s="146">
        <f t="shared" si="0"/>
        <v>208000</v>
      </c>
      <c r="F8" s="147">
        <f t="shared" si="1"/>
        <v>31800</v>
      </c>
      <c r="G8" s="148">
        <f t="shared" si="2"/>
        <v>243800</v>
      </c>
      <c r="H8" s="148">
        <f t="shared" si="6"/>
        <v>1373100</v>
      </c>
      <c r="I8" s="143">
        <v>40000</v>
      </c>
      <c r="J8" s="143">
        <v>26</v>
      </c>
      <c r="K8" s="142">
        <f t="shared" si="3"/>
        <v>1040000</v>
      </c>
      <c r="L8" s="143">
        <v>0.5</v>
      </c>
      <c r="M8" s="149">
        <f t="shared" si="4"/>
        <v>520000</v>
      </c>
      <c r="N8" s="158">
        <f t="shared" si="7"/>
        <v>2191800</v>
      </c>
      <c r="O8" s="156">
        <f t="shared" si="5"/>
        <v>818700</v>
      </c>
    </row>
    <row r="9" spans="2:15" x14ac:dyDescent="0.3">
      <c r="B9" s="141" t="s">
        <v>311</v>
      </c>
      <c r="C9" s="145">
        <v>0</v>
      </c>
      <c r="D9" s="146">
        <v>4000</v>
      </c>
      <c r="E9" s="146">
        <f t="shared" si="0"/>
        <v>208000</v>
      </c>
      <c r="F9" s="147">
        <f t="shared" si="1"/>
        <v>31800</v>
      </c>
      <c r="G9" s="148">
        <f t="shared" si="2"/>
        <v>243800</v>
      </c>
      <c r="H9" s="148">
        <f t="shared" si="6"/>
        <v>1616900</v>
      </c>
      <c r="I9" s="143">
        <v>40000</v>
      </c>
      <c r="J9" s="143">
        <v>26</v>
      </c>
      <c r="K9" s="142">
        <f t="shared" si="3"/>
        <v>1040000</v>
      </c>
      <c r="L9" s="143">
        <v>0.5</v>
      </c>
      <c r="M9" s="149">
        <f t="shared" si="4"/>
        <v>520000</v>
      </c>
      <c r="N9" s="158">
        <f t="shared" si="7"/>
        <v>2711800</v>
      </c>
      <c r="O9" s="156">
        <f t="shared" si="5"/>
        <v>1094900</v>
      </c>
    </row>
    <row r="10" spans="2:15" x14ac:dyDescent="0.3">
      <c r="B10" s="141" t="s">
        <v>312</v>
      </c>
      <c r="C10" s="145">
        <v>0</v>
      </c>
      <c r="D10" s="146">
        <v>4000</v>
      </c>
      <c r="E10" s="146">
        <f t="shared" si="0"/>
        <v>208000</v>
      </c>
      <c r="F10" s="147">
        <f t="shared" si="1"/>
        <v>31800</v>
      </c>
      <c r="G10" s="148">
        <f t="shared" si="2"/>
        <v>243800</v>
      </c>
      <c r="H10" s="148">
        <f t="shared" si="6"/>
        <v>1860700</v>
      </c>
      <c r="I10" s="143">
        <v>40000</v>
      </c>
      <c r="J10" s="143">
        <v>26</v>
      </c>
      <c r="K10" s="142">
        <f t="shared" si="3"/>
        <v>1040000</v>
      </c>
      <c r="L10" s="143">
        <v>0.5</v>
      </c>
      <c r="M10" s="149">
        <f t="shared" si="4"/>
        <v>520000</v>
      </c>
      <c r="N10" s="158">
        <f t="shared" si="7"/>
        <v>3231800</v>
      </c>
      <c r="O10" s="156">
        <f t="shared" si="5"/>
        <v>1371100</v>
      </c>
    </row>
    <row r="11" spans="2:15" x14ac:dyDescent="0.3">
      <c r="B11" s="141" t="s">
        <v>313</v>
      </c>
      <c r="C11" s="145">
        <v>160000</v>
      </c>
      <c r="D11" s="146">
        <v>6000</v>
      </c>
      <c r="E11" s="146">
        <f t="shared" si="0"/>
        <v>208000</v>
      </c>
      <c r="F11" s="147">
        <f t="shared" si="1"/>
        <v>56100</v>
      </c>
      <c r="G11" s="148">
        <f t="shared" si="2"/>
        <v>430100</v>
      </c>
      <c r="H11" s="148">
        <f t="shared" si="6"/>
        <v>2290800</v>
      </c>
      <c r="I11" s="143">
        <v>40000</v>
      </c>
      <c r="J11" s="143">
        <v>26</v>
      </c>
      <c r="K11" s="142">
        <f t="shared" si="3"/>
        <v>1040000</v>
      </c>
      <c r="L11" s="143">
        <v>0.5</v>
      </c>
      <c r="M11" s="149">
        <f t="shared" si="4"/>
        <v>520000</v>
      </c>
      <c r="N11" s="158">
        <f t="shared" si="7"/>
        <v>3751800</v>
      </c>
      <c r="O11" s="156">
        <f t="shared" si="5"/>
        <v>1461000</v>
      </c>
    </row>
    <row r="12" spans="2:15" x14ac:dyDescent="0.3">
      <c r="B12" s="141" t="s">
        <v>314</v>
      </c>
      <c r="C12" s="145">
        <v>0</v>
      </c>
      <c r="D12" s="146">
        <v>6000</v>
      </c>
      <c r="E12" s="146">
        <f t="shared" si="0"/>
        <v>208000</v>
      </c>
      <c r="F12" s="147">
        <f t="shared" si="1"/>
        <v>32100</v>
      </c>
      <c r="G12" s="148">
        <f t="shared" si="2"/>
        <v>246100</v>
      </c>
      <c r="H12" s="148">
        <f t="shared" si="6"/>
        <v>2536900</v>
      </c>
      <c r="I12" s="143">
        <v>40000</v>
      </c>
      <c r="J12" s="143">
        <v>26</v>
      </c>
      <c r="K12" s="142">
        <f t="shared" si="3"/>
        <v>1040000</v>
      </c>
      <c r="L12" s="143">
        <v>0.5</v>
      </c>
      <c r="M12" s="149">
        <f t="shared" si="4"/>
        <v>520000</v>
      </c>
      <c r="N12" s="158">
        <f t="shared" si="7"/>
        <v>4271800</v>
      </c>
      <c r="O12" s="156">
        <f t="shared" si="5"/>
        <v>1734900</v>
      </c>
    </row>
    <row r="13" spans="2:15" x14ac:dyDescent="0.3">
      <c r="B13" s="141" t="s">
        <v>315</v>
      </c>
      <c r="C13" s="145">
        <v>0</v>
      </c>
      <c r="D13" s="146">
        <v>6000</v>
      </c>
      <c r="E13" s="146">
        <f t="shared" si="0"/>
        <v>208000</v>
      </c>
      <c r="F13" s="147">
        <f t="shared" si="1"/>
        <v>32100</v>
      </c>
      <c r="G13" s="148">
        <f t="shared" si="2"/>
        <v>246100</v>
      </c>
      <c r="H13" s="148">
        <f t="shared" si="6"/>
        <v>2783000</v>
      </c>
      <c r="I13" s="143">
        <v>40000</v>
      </c>
      <c r="J13" s="143">
        <v>26</v>
      </c>
      <c r="K13" s="142">
        <f t="shared" si="3"/>
        <v>1040000</v>
      </c>
      <c r="L13" s="143">
        <v>0.5</v>
      </c>
      <c r="M13" s="149">
        <f t="shared" si="4"/>
        <v>520000</v>
      </c>
      <c r="N13" s="158">
        <f t="shared" si="7"/>
        <v>4791800</v>
      </c>
      <c r="O13" s="156">
        <f t="shared" si="5"/>
        <v>2008800</v>
      </c>
    </row>
    <row r="14" spans="2:15" x14ac:dyDescent="0.3">
      <c r="B14" s="141" t="s">
        <v>316</v>
      </c>
      <c r="C14" s="145">
        <v>0</v>
      </c>
      <c r="D14" s="146">
        <v>6000</v>
      </c>
      <c r="E14" s="146">
        <f t="shared" si="0"/>
        <v>208000</v>
      </c>
      <c r="F14" s="147">
        <f t="shared" si="1"/>
        <v>32100</v>
      </c>
      <c r="G14" s="148">
        <f t="shared" si="2"/>
        <v>246100</v>
      </c>
      <c r="H14" s="148">
        <f t="shared" si="6"/>
        <v>3029100</v>
      </c>
      <c r="I14" s="143">
        <v>40000</v>
      </c>
      <c r="J14" s="143">
        <v>26</v>
      </c>
      <c r="K14" s="142">
        <f t="shared" si="3"/>
        <v>1040000</v>
      </c>
      <c r="L14" s="143">
        <v>0.5</v>
      </c>
      <c r="M14" s="149">
        <f t="shared" si="4"/>
        <v>520000</v>
      </c>
      <c r="N14" s="158">
        <f t="shared" si="7"/>
        <v>5311800</v>
      </c>
      <c r="O14" s="156">
        <f t="shared" si="5"/>
        <v>2282700</v>
      </c>
    </row>
    <row r="15" spans="2:15" ht="15" thickBot="1" x14ac:dyDescent="0.35">
      <c r="B15" s="140" t="s">
        <v>321</v>
      </c>
      <c r="C15" s="148">
        <f>SUM(C3:C14)</f>
        <v>480000</v>
      </c>
      <c r="D15" s="144">
        <f>SUM(D3:D14)</f>
        <v>48000</v>
      </c>
      <c r="E15" s="144">
        <f>SUM(E3:E14)</f>
        <v>2106000</v>
      </c>
      <c r="F15" s="148">
        <f>SUM(F3:F14)</f>
        <v>395100</v>
      </c>
      <c r="G15" s="148">
        <f>SUM(G3:G14)</f>
        <v>3029100</v>
      </c>
      <c r="H15" s="148"/>
      <c r="I15" s="143">
        <f>SUM(I3:I14)</f>
        <v>405000</v>
      </c>
      <c r="J15" s="143">
        <f>SUM(J3:J14)</f>
        <v>312</v>
      </c>
      <c r="K15" s="142">
        <f>SUM(K3:K14)</f>
        <v>10530000</v>
      </c>
      <c r="L15" s="143"/>
      <c r="M15" s="149">
        <f>SUM(M3:M14)</f>
        <v>5311800</v>
      </c>
      <c r="N15" s="154"/>
      <c r="O15" s="155"/>
    </row>
    <row r="16" spans="2:15" x14ac:dyDescent="0.3"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N16" s="139"/>
    </row>
    <row r="17" spans="4:5" x14ac:dyDescent="0.3">
      <c r="D17" t="s">
        <v>331</v>
      </c>
      <c r="E17" s="138">
        <f>K15</f>
        <v>10530000</v>
      </c>
    </row>
    <row r="18" spans="4:5" x14ac:dyDescent="0.3">
      <c r="D18" t="s">
        <v>12</v>
      </c>
      <c r="E18" s="138">
        <f>G15</f>
        <v>3029100</v>
      </c>
    </row>
    <row r="19" spans="4:5" x14ac:dyDescent="0.3">
      <c r="D19" t="s">
        <v>333</v>
      </c>
      <c r="E19" s="159">
        <f>E18/E17</f>
        <v>0.28766381766381766</v>
      </c>
    </row>
  </sheetData>
  <mergeCells count="5">
    <mergeCell ref="O1:O2"/>
    <mergeCell ref="B1:B2"/>
    <mergeCell ref="B16:L16"/>
    <mergeCell ref="I1:N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Final</vt:lpstr>
      <vt:lpstr>ROI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Nurul Akhter</dc:creator>
  <cp:lastModifiedBy>Md. Nurul Akhter</cp:lastModifiedBy>
  <dcterms:created xsi:type="dcterms:W3CDTF">2026-04-27T06:43:57Z</dcterms:created>
  <dcterms:modified xsi:type="dcterms:W3CDTF">2026-06-08T08:49:28Z</dcterms:modified>
</cp:coreProperties>
</file>